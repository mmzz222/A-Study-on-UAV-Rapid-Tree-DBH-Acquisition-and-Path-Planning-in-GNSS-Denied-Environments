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大论文数据\--树林3\"/>
    </mc:Choice>
  </mc:AlternateContent>
  <xr:revisionPtr revIDLastSave="0" documentId="13_ncr:1_{5FB32830-1D43-4304-94C2-26D103AFE3DE}" xr6:coauthVersionLast="47" xr6:coauthVersionMax="47" xr10:uidLastSave="{00000000-0000-0000-0000-000000000000}"/>
  <bookViews>
    <workbookView xWindow="4635" yWindow="-16320" windowWidth="29040" windowHeight="16440" xr2:uid="{00000000-000D-0000-FFFF-FFFF00000000}"/>
  </bookViews>
  <sheets>
    <sheet name="Sheet2" sheetId="2" r:id="rId1"/>
    <sheet name="胸径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1" i="2" l="1"/>
  <c r="O52" i="2"/>
  <c r="O53" i="2"/>
  <c r="O54" i="2"/>
  <c r="O55" i="2"/>
  <c r="O56" i="2"/>
  <c r="O57" i="2"/>
  <c r="O58" i="2"/>
  <c r="O59" i="2"/>
  <c r="O50" i="2"/>
  <c r="CG44" i="2" a="1"/>
  <c r="CG44" i="2" s="1"/>
  <c r="CP44" i="2" a="1"/>
  <c r="CP44" i="2" s="1"/>
  <c r="BX44" i="2" a="1"/>
  <c r="BX44" i="2" s="1"/>
  <c r="BO44" i="2" a="1"/>
  <c r="BO44" i="2" s="1"/>
  <c r="BF44" i="2" a="1"/>
  <c r="BF44" i="2" s="1"/>
  <c r="AW44" i="2" a="1"/>
  <c r="AW44" i="2" s="1"/>
  <c r="AN44" i="2" a="1"/>
  <c r="AN44" i="2" s="1"/>
  <c r="AE44" i="2" a="1"/>
  <c r="AE44" i="2" s="1"/>
  <c r="E44" i="2"/>
  <c r="AG44" i="2" l="1" a="1"/>
  <c r="AG44" i="2" s="1"/>
  <c r="AY44" i="2" a="1"/>
  <c r="AY44" i="2" s="1"/>
  <c r="BH44" i="2" a="1"/>
  <c r="BH44" i="2" s="1"/>
  <c r="BQ44" i="2" a="1"/>
  <c r="BQ44" i="2" s="1"/>
  <c r="CR44" i="2" a="1"/>
  <c r="CR44" i="2" s="1"/>
  <c r="BZ44" i="2" a="1"/>
  <c r="BZ44" i="2" s="1"/>
  <c r="CI44" i="2" a="1"/>
  <c r="CI44" i="2" s="1"/>
  <c r="CO3" i="2"/>
  <c r="CP3" i="2" s="1"/>
  <c r="CQ3" i="2" s="1"/>
  <c r="CO4" i="2"/>
  <c r="CP4" i="2" s="1"/>
  <c r="CQ4" i="2" s="1"/>
  <c r="CO5" i="2"/>
  <c r="CP5" i="2"/>
  <c r="CQ5" i="2" s="1"/>
  <c r="CO6" i="2"/>
  <c r="CP6" i="2" s="1"/>
  <c r="CQ6" i="2" s="1"/>
  <c r="CO7" i="2"/>
  <c r="CP7" i="2" s="1"/>
  <c r="CQ7" i="2" s="1"/>
  <c r="CO8" i="2"/>
  <c r="CP8" i="2" s="1"/>
  <c r="CQ8" i="2" s="1"/>
  <c r="CO9" i="2"/>
  <c r="CP9" i="2" s="1"/>
  <c r="CQ9" i="2" s="1"/>
  <c r="CO10" i="2"/>
  <c r="CP10" i="2"/>
  <c r="CQ10" i="2" s="1"/>
  <c r="CO11" i="2"/>
  <c r="CP11" i="2" s="1"/>
  <c r="CQ11" i="2" s="1"/>
  <c r="CO12" i="2"/>
  <c r="CP12" i="2" s="1"/>
  <c r="CQ12" i="2" s="1"/>
  <c r="CO13" i="2"/>
  <c r="CP13" i="2" s="1"/>
  <c r="CQ13" i="2" s="1"/>
  <c r="CO14" i="2"/>
  <c r="CP14" i="2" s="1"/>
  <c r="CQ14" i="2" s="1"/>
  <c r="CO15" i="2"/>
  <c r="CP15" i="2" s="1"/>
  <c r="CQ15" i="2" s="1"/>
  <c r="CO16" i="2"/>
  <c r="CP16" i="2" s="1"/>
  <c r="CQ16" i="2" s="1"/>
  <c r="CO17" i="2"/>
  <c r="CP17" i="2" s="1"/>
  <c r="CQ17" i="2" s="1"/>
  <c r="CO18" i="2"/>
  <c r="CP18" i="2" s="1"/>
  <c r="CQ18" i="2" s="1"/>
  <c r="CO19" i="2"/>
  <c r="CP19" i="2" s="1"/>
  <c r="CQ19" i="2" s="1"/>
  <c r="CO20" i="2"/>
  <c r="CP20" i="2" s="1"/>
  <c r="CQ20" i="2" s="1"/>
  <c r="CO21" i="2"/>
  <c r="CP21" i="2"/>
  <c r="CQ21" i="2" s="1"/>
  <c r="CO22" i="2"/>
  <c r="CP22" i="2" s="1"/>
  <c r="CQ22" i="2" s="1"/>
  <c r="CO23" i="2"/>
  <c r="CP23" i="2" s="1"/>
  <c r="CQ23" i="2" s="1"/>
  <c r="CO24" i="2"/>
  <c r="CP24" i="2" s="1"/>
  <c r="CQ24" i="2" s="1"/>
  <c r="CO25" i="2"/>
  <c r="CP25" i="2" s="1"/>
  <c r="CQ25" i="2" s="1"/>
  <c r="CO26" i="2"/>
  <c r="CP26" i="2" s="1"/>
  <c r="CQ26" i="2" s="1"/>
  <c r="CO27" i="2"/>
  <c r="CP27" i="2" s="1"/>
  <c r="CQ27" i="2" s="1"/>
  <c r="CO28" i="2"/>
  <c r="CP28" i="2" s="1"/>
  <c r="CQ28" i="2" s="1"/>
  <c r="CO29" i="2"/>
  <c r="CP29" i="2" s="1"/>
  <c r="CQ29" i="2" s="1"/>
  <c r="CO30" i="2"/>
  <c r="CP30" i="2" s="1"/>
  <c r="CQ30" i="2" s="1"/>
  <c r="CO31" i="2"/>
  <c r="CP31" i="2"/>
  <c r="CQ31" i="2" s="1"/>
  <c r="CO32" i="2"/>
  <c r="CP32" i="2" s="1"/>
  <c r="CQ32" i="2" s="1"/>
  <c r="CO33" i="2"/>
  <c r="CP33" i="2" s="1"/>
  <c r="CQ33" i="2" s="1"/>
  <c r="CO34" i="2"/>
  <c r="CP34" i="2" s="1"/>
  <c r="CQ34" i="2" s="1"/>
  <c r="CO35" i="2"/>
  <c r="CP35" i="2" s="1"/>
  <c r="CQ35" i="2" s="1"/>
  <c r="CO36" i="2"/>
  <c r="CP36" i="2" s="1"/>
  <c r="CQ36" i="2" s="1"/>
  <c r="CO37" i="2"/>
  <c r="CP37" i="2" s="1"/>
  <c r="CQ37" i="2" s="1"/>
  <c r="CO38" i="2"/>
  <c r="CP38" i="2"/>
  <c r="CQ38" i="2" s="1"/>
  <c r="CO39" i="2"/>
  <c r="CP39" i="2" s="1"/>
  <c r="CQ39" i="2" s="1"/>
  <c r="CO40" i="2"/>
  <c r="CP40" i="2" s="1"/>
  <c r="CQ40" i="2" s="1"/>
  <c r="CO41" i="2"/>
  <c r="CP41" i="2"/>
  <c r="CQ41" i="2" s="1"/>
  <c r="CO42" i="2"/>
  <c r="CP42" i="2" s="1"/>
  <c r="CQ42" i="2" s="1"/>
  <c r="CO43" i="2"/>
  <c r="CP43" i="2" s="1"/>
  <c r="CQ43" i="2" s="1"/>
  <c r="F12" i="2"/>
  <c r="F13" i="2"/>
  <c r="F14" i="2"/>
  <c r="F15" i="2"/>
  <c r="F16" i="2"/>
  <c r="F17" i="2"/>
  <c r="F18" i="2"/>
  <c r="F31" i="2"/>
  <c r="F32" i="2"/>
  <c r="F33" i="2"/>
  <c r="E34" i="2"/>
  <c r="BF34" i="2" s="1"/>
  <c r="F42" i="2"/>
  <c r="F43" i="2"/>
  <c r="F30" i="2"/>
  <c r="F29" i="2"/>
  <c r="F28" i="2"/>
  <c r="F3" i="2"/>
  <c r="F4" i="2"/>
  <c r="F5" i="2"/>
  <c r="F6" i="2"/>
  <c r="F7" i="2"/>
  <c r="F8" i="2"/>
  <c r="F9" i="2"/>
  <c r="F10" i="2"/>
  <c r="F11" i="2"/>
  <c r="F19" i="2"/>
  <c r="F20" i="2"/>
  <c r="F21" i="2"/>
  <c r="F22" i="2"/>
  <c r="F23" i="2"/>
  <c r="F24" i="2"/>
  <c r="F25" i="2"/>
  <c r="F26" i="2"/>
  <c r="F27" i="2"/>
  <c r="F35" i="2"/>
  <c r="F36" i="2"/>
  <c r="F37" i="2"/>
  <c r="F38" i="2"/>
  <c r="F39" i="2"/>
  <c r="F40" i="2"/>
  <c r="F41" i="2"/>
  <c r="E2" i="3"/>
  <c r="E3" i="3"/>
  <c r="E4" i="3"/>
  <c r="E5" i="3"/>
  <c r="E6" i="3"/>
  <c r="E7" i="3"/>
  <c r="E8" i="3"/>
  <c r="E9" i="3"/>
  <c r="E10" i="3"/>
  <c r="E11" i="3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K32" i="2"/>
  <c r="K33" i="2"/>
  <c r="K34" i="2"/>
  <c r="K35" i="2"/>
  <c r="K36" i="2"/>
  <c r="K37" i="2"/>
  <c r="K38" i="2"/>
  <c r="K39" i="2"/>
  <c r="K40" i="2"/>
  <c r="K41" i="2"/>
  <c r="K42" i="2"/>
  <c r="K43" i="2"/>
  <c r="K22" i="2"/>
  <c r="K23" i="2"/>
  <c r="K24" i="2"/>
  <c r="K25" i="2"/>
  <c r="K26" i="2"/>
  <c r="K27" i="2"/>
  <c r="K28" i="2"/>
  <c r="K29" i="2"/>
  <c r="K30" i="2"/>
  <c r="K31" i="2"/>
  <c r="AD22" i="2"/>
  <c r="AD23" i="2"/>
  <c r="AD2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CF30" i="2"/>
  <c r="CF29" i="2"/>
  <c r="CF28" i="2"/>
  <c r="CF14" i="2"/>
  <c r="CF13" i="2"/>
  <c r="CF12" i="2"/>
  <c r="BW30" i="2"/>
  <c r="CF43" i="2"/>
  <c r="CF42" i="2"/>
  <c r="CF41" i="2"/>
  <c r="CF40" i="2"/>
  <c r="CF39" i="2"/>
  <c r="CF38" i="2"/>
  <c r="CF37" i="2"/>
  <c r="CF36" i="2"/>
  <c r="CF35" i="2"/>
  <c r="CF34" i="2"/>
  <c r="CF33" i="2"/>
  <c r="CF32" i="2"/>
  <c r="CF31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1" i="2"/>
  <c r="CF10" i="2"/>
  <c r="CF9" i="2"/>
  <c r="CF8" i="2"/>
  <c r="CF7" i="2"/>
  <c r="CF6" i="2"/>
  <c r="CF5" i="2"/>
  <c r="CF4" i="2"/>
  <c r="CF3" i="2"/>
  <c r="BW43" i="2"/>
  <c r="BW42" i="2"/>
  <c r="BW41" i="2"/>
  <c r="BW40" i="2"/>
  <c r="BW39" i="2"/>
  <c r="BW38" i="2"/>
  <c r="BW37" i="2"/>
  <c r="BW36" i="2"/>
  <c r="BW35" i="2"/>
  <c r="BW34" i="2"/>
  <c r="BW33" i="2"/>
  <c r="BW32" i="2"/>
  <c r="BW31" i="2"/>
  <c r="BW29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W11" i="2"/>
  <c r="BW10" i="2"/>
  <c r="BW9" i="2"/>
  <c r="BW8" i="2"/>
  <c r="BW7" i="2"/>
  <c r="BW6" i="2"/>
  <c r="BW5" i="2"/>
  <c r="BW4" i="2"/>
  <c r="BW3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P4" i="2" s="1"/>
  <c r="AM3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E4" i="2"/>
  <c r="CI4" i="2" s="1"/>
  <c r="E5" i="2"/>
  <c r="AG5" i="2" s="1"/>
  <c r="E6" i="2"/>
  <c r="AN6" i="2" s="1"/>
  <c r="E7" i="2"/>
  <c r="BQ7" i="2" s="1"/>
  <c r="E8" i="2"/>
  <c r="AE8" i="2" s="1"/>
  <c r="E9" i="2"/>
  <c r="V9" i="2" s="1"/>
  <c r="E10" i="2"/>
  <c r="AW10" i="2" s="1"/>
  <c r="E11" i="2"/>
  <c r="BZ11" i="2" s="1"/>
  <c r="E18" i="2"/>
  <c r="AE18" i="2" s="1"/>
  <c r="E19" i="2"/>
  <c r="AG19" i="2" s="1"/>
  <c r="E20" i="2"/>
  <c r="E21" i="2"/>
  <c r="AN21" i="2" s="1"/>
  <c r="E22" i="2"/>
  <c r="BX22" i="2" s="1"/>
  <c r="E23" i="2"/>
  <c r="BQ23" i="2" s="1"/>
  <c r="E24" i="2"/>
  <c r="AG24" i="2" s="1"/>
  <c r="E25" i="2"/>
  <c r="X25" i="2" s="1"/>
  <c r="E26" i="2"/>
  <c r="AW26" i="2" s="1"/>
  <c r="E27" i="2"/>
  <c r="BH27" i="2" s="1"/>
  <c r="E35" i="2"/>
  <c r="BO35" i="2" s="1"/>
  <c r="E36" i="2"/>
  <c r="E37" i="2"/>
  <c r="AN37" i="2" s="1"/>
  <c r="E38" i="2"/>
  <c r="BX38" i="2" s="1"/>
  <c r="E39" i="2"/>
  <c r="BQ39" i="2" s="1"/>
  <c r="E40" i="2"/>
  <c r="E41" i="2"/>
  <c r="X41" i="2" s="1"/>
  <c r="E42" i="2"/>
  <c r="AW42" i="2" s="1"/>
  <c r="E43" i="2"/>
  <c r="BH43" i="2" s="1"/>
  <c r="E3" i="2"/>
  <c r="BF3" i="2" s="1"/>
  <c r="X8" i="2" l="1"/>
  <c r="X24" i="2"/>
  <c r="F34" i="2"/>
  <c r="CI41" i="2"/>
  <c r="X9" i="2"/>
  <c r="AP19" i="2"/>
  <c r="AP35" i="2"/>
  <c r="AP20" i="2"/>
  <c r="AP36" i="2"/>
  <c r="BH18" i="2"/>
  <c r="BH34" i="2"/>
  <c r="CR5" i="2"/>
  <c r="CR21" i="2"/>
  <c r="AE19" i="2"/>
  <c r="AF19" i="2" s="1"/>
  <c r="AG3" i="2"/>
  <c r="AG42" i="2"/>
  <c r="BZ18" i="2"/>
  <c r="BZ35" i="2"/>
  <c r="AE3" i="2"/>
  <c r="BO36" i="2"/>
  <c r="BP36" i="2" s="1"/>
  <c r="AG22" i="2"/>
  <c r="CR35" i="2"/>
  <c r="CR19" i="2"/>
  <c r="E16" i="2"/>
  <c r="E33" i="2"/>
  <c r="BX33" i="2" s="1"/>
  <c r="E17" i="2"/>
  <c r="BX17" i="2" s="1"/>
  <c r="BY17" i="2" s="1"/>
  <c r="E15" i="2"/>
  <c r="AN15" i="2" s="1"/>
  <c r="AO15" i="2" s="1"/>
  <c r="E14" i="2"/>
  <c r="V14" i="2" s="1"/>
  <c r="W14" i="2" s="1"/>
  <c r="E32" i="2"/>
  <c r="AE32" i="2" s="1"/>
  <c r="AF32" i="2" s="1"/>
  <c r="E31" i="2"/>
  <c r="BZ31" i="2" s="1"/>
  <c r="E30" i="2"/>
  <c r="AW30" i="2" s="1"/>
  <c r="AX30" i="2" s="1"/>
  <c r="E29" i="2"/>
  <c r="AW29" i="2" s="1"/>
  <c r="AX29" i="2" s="1"/>
  <c r="E13" i="2"/>
  <c r="BQ13" i="2" s="1"/>
  <c r="X19" i="2"/>
  <c r="E28" i="2"/>
  <c r="E12" i="2"/>
  <c r="BF12" i="2" s="1"/>
  <c r="X40" i="2"/>
  <c r="AW6" i="2"/>
  <c r="AW22" i="2"/>
  <c r="AW38" i="2"/>
  <c r="BQ4" i="2"/>
  <c r="BQ20" i="2"/>
  <c r="BQ36" i="2"/>
  <c r="CG3" i="2"/>
  <c r="CH3" i="2" s="1"/>
  <c r="CG22" i="2"/>
  <c r="CH22" i="2" s="1"/>
  <c r="CG41" i="2"/>
  <c r="AG8" i="2"/>
  <c r="AW7" i="2"/>
  <c r="AX7" i="2" s="1"/>
  <c r="AW23" i="2"/>
  <c r="AW39" i="2"/>
  <c r="BO5" i="2"/>
  <c r="BO21" i="2"/>
  <c r="BO37" i="2"/>
  <c r="BX12" i="2"/>
  <c r="BX28" i="2"/>
  <c r="CG4" i="2"/>
  <c r="CH4" i="2" s="1"/>
  <c r="CG23" i="2"/>
  <c r="CH23" i="2" s="1"/>
  <c r="AG7" i="2"/>
  <c r="AN5" i="2"/>
  <c r="AW8" i="2"/>
  <c r="AW24" i="2"/>
  <c r="AW40" i="2"/>
  <c r="AX40" i="2" s="1"/>
  <c r="BO6" i="2"/>
  <c r="BO22" i="2"/>
  <c r="BP22" i="2" s="1"/>
  <c r="BO38" i="2"/>
  <c r="CG5" i="2"/>
  <c r="AN4" i="2"/>
  <c r="AO4" i="2" s="1"/>
  <c r="AP18" i="2"/>
  <c r="AP34" i="2"/>
  <c r="BO7" i="2"/>
  <c r="BO23" i="2"/>
  <c r="BO39" i="2"/>
  <c r="CG6" i="2"/>
  <c r="CR36" i="2"/>
  <c r="AE21" i="2"/>
  <c r="AF21" i="2" s="1"/>
  <c r="AE5" i="2"/>
  <c r="BX27" i="2"/>
  <c r="BY27" i="2" s="1"/>
  <c r="X42" i="2"/>
  <c r="CG24" i="2"/>
  <c r="CI43" i="2"/>
  <c r="AG6" i="2"/>
  <c r="AG23" i="2"/>
  <c r="BH11" i="2"/>
  <c r="CI38" i="2"/>
  <c r="CI25" i="2"/>
  <c r="X26" i="2"/>
  <c r="AW25" i="2"/>
  <c r="BO8" i="2"/>
  <c r="BO24" i="2"/>
  <c r="BP24" i="2" s="1"/>
  <c r="BO40" i="2"/>
  <c r="BP40" i="2" s="1"/>
  <c r="CG7" i="2"/>
  <c r="CH7" i="2" s="1"/>
  <c r="CI26" i="2"/>
  <c r="CR4" i="2"/>
  <c r="CR20" i="2"/>
  <c r="CR37" i="2"/>
  <c r="AE20" i="2"/>
  <c r="AE4" i="2"/>
  <c r="V42" i="2"/>
  <c r="AE12" i="2"/>
  <c r="AP12" i="2"/>
  <c r="AY41" i="2"/>
  <c r="CI22" i="2"/>
  <c r="AG41" i="2"/>
  <c r="BX11" i="2"/>
  <c r="BY11" i="2" s="1"/>
  <c r="V43" i="2"/>
  <c r="W43" i="2" s="1"/>
  <c r="BO25" i="2"/>
  <c r="BP25" i="2" s="1"/>
  <c r="AE9" i="2"/>
  <c r="AF9" i="2" s="1"/>
  <c r="AN38" i="2"/>
  <c r="AY38" i="2"/>
  <c r="BO20" i="2"/>
  <c r="BP20" i="2" s="1"/>
  <c r="CI9" i="2"/>
  <c r="AG34" i="2"/>
  <c r="V27" i="2"/>
  <c r="AY26" i="2"/>
  <c r="BO41" i="2"/>
  <c r="V39" i="2"/>
  <c r="W39" i="2" s="1"/>
  <c r="AP5" i="2"/>
  <c r="AP21" i="2"/>
  <c r="AP37" i="2"/>
  <c r="BH3" i="2"/>
  <c r="BF19" i="2"/>
  <c r="BG19" i="2" s="1"/>
  <c r="BF35" i="2"/>
  <c r="BG35" i="2" s="1"/>
  <c r="BO10" i="2"/>
  <c r="BP10" i="2" s="1"/>
  <c r="BO26" i="2"/>
  <c r="BO42" i="2"/>
  <c r="BP42" i="2" s="1"/>
  <c r="BZ34" i="2"/>
  <c r="CG9" i="2"/>
  <c r="CR6" i="2"/>
  <c r="CR22" i="2"/>
  <c r="CR39" i="2"/>
  <c r="V36" i="2"/>
  <c r="AE6" i="2"/>
  <c r="AY25" i="2"/>
  <c r="CI6" i="2"/>
  <c r="BO9" i="2"/>
  <c r="BF36" i="2"/>
  <c r="CR23" i="2"/>
  <c r="V26" i="2"/>
  <c r="W26" i="2" s="1"/>
  <c r="AG21" i="2"/>
  <c r="AN36" i="2"/>
  <c r="AO36" i="2" s="1"/>
  <c r="AY22" i="2"/>
  <c r="BO4" i="2"/>
  <c r="AG40" i="2"/>
  <c r="AW41" i="2"/>
  <c r="AP22" i="2"/>
  <c r="AP7" i="2"/>
  <c r="AN23" i="2"/>
  <c r="AP39" i="2"/>
  <c r="BF5" i="2"/>
  <c r="BF21" i="2"/>
  <c r="BF37" i="2"/>
  <c r="BG37" i="2" s="1"/>
  <c r="BO12" i="2"/>
  <c r="BP12" i="2" s="1"/>
  <c r="BO28" i="2"/>
  <c r="BP28" i="2" s="1"/>
  <c r="BZ3" i="2"/>
  <c r="BZ19" i="2"/>
  <c r="BZ36" i="2"/>
  <c r="CI11" i="2"/>
  <c r="CR8" i="2"/>
  <c r="CR24" i="2"/>
  <c r="CR41" i="2"/>
  <c r="V23" i="2"/>
  <c r="AG20" i="2"/>
  <c r="AN34" i="2"/>
  <c r="AY9" i="2"/>
  <c r="AG28" i="2"/>
  <c r="AG39" i="2"/>
  <c r="CR38" i="2"/>
  <c r="BO11" i="2"/>
  <c r="CR40" i="2"/>
  <c r="AN8" i="2"/>
  <c r="AO8" i="2" s="1"/>
  <c r="AN24" i="2"/>
  <c r="AO24" i="2" s="1"/>
  <c r="AN40" i="2"/>
  <c r="AO40" i="2" s="1"/>
  <c r="BF6" i="2"/>
  <c r="BF22" i="2"/>
  <c r="BF38" i="2"/>
  <c r="BZ4" i="2"/>
  <c r="BZ20" i="2"/>
  <c r="BZ37" i="2"/>
  <c r="CI15" i="2"/>
  <c r="CG34" i="2"/>
  <c r="CH34" i="2" s="1"/>
  <c r="CR9" i="2"/>
  <c r="CR25" i="2"/>
  <c r="CR42" i="2"/>
  <c r="V20" i="2"/>
  <c r="AN33" i="2"/>
  <c r="AO33" i="2" s="1"/>
  <c r="AY6" i="2"/>
  <c r="BX35" i="2"/>
  <c r="BY35" i="2" s="1"/>
  <c r="AG26" i="2"/>
  <c r="AG38" i="2"/>
  <c r="X10" i="2"/>
  <c r="AY42" i="2"/>
  <c r="AY27" i="2"/>
  <c r="CG8" i="2"/>
  <c r="CH8" i="2" s="1"/>
  <c r="AP6" i="2"/>
  <c r="BF4" i="2"/>
  <c r="BG4" i="2" s="1"/>
  <c r="BO43" i="2"/>
  <c r="BP43" i="2" s="1"/>
  <c r="CR7" i="2"/>
  <c r="V18" i="2"/>
  <c r="V34" i="2"/>
  <c r="AN9" i="2"/>
  <c r="AO9" i="2" s="1"/>
  <c r="AN25" i="2"/>
  <c r="AO25" i="2" s="1"/>
  <c r="AN41" i="2"/>
  <c r="AO41" i="2" s="1"/>
  <c r="BF7" i="2"/>
  <c r="BG7" i="2" s="1"/>
  <c r="BF23" i="2"/>
  <c r="BG23" i="2" s="1"/>
  <c r="BF39" i="2"/>
  <c r="BZ5" i="2"/>
  <c r="BZ21" i="2"/>
  <c r="BZ38" i="2"/>
  <c r="CI16" i="2"/>
  <c r="CG35" i="2"/>
  <c r="CR10" i="2"/>
  <c r="V10" i="2"/>
  <c r="W10" i="2" s="1"/>
  <c r="AG18" i="2"/>
  <c r="AN22" i="2"/>
  <c r="AG25" i="2"/>
  <c r="AG37" i="2"/>
  <c r="AY10" i="2"/>
  <c r="V3" i="2"/>
  <c r="V19" i="2"/>
  <c r="W19" i="2" s="1"/>
  <c r="V35" i="2"/>
  <c r="W35" i="2" s="1"/>
  <c r="AN10" i="2"/>
  <c r="AO10" i="2" s="1"/>
  <c r="AN26" i="2"/>
  <c r="AO26" i="2" s="1"/>
  <c r="AN42" i="2"/>
  <c r="AO42" i="2" s="1"/>
  <c r="AW33" i="2"/>
  <c r="BF8" i="2"/>
  <c r="BF24" i="2"/>
  <c r="BF40" i="2"/>
  <c r="BG40" i="2" s="1"/>
  <c r="BZ6" i="2"/>
  <c r="BZ22" i="2"/>
  <c r="BX39" i="2"/>
  <c r="BY39" i="2" s="1"/>
  <c r="CG36" i="2"/>
  <c r="V7" i="2"/>
  <c r="AG36" i="2"/>
  <c r="BF20" i="2"/>
  <c r="CI10" i="2"/>
  <c r="X4" i="2"/>
  <c r="X20" i="2"/>
  <c r="X36" i="2"/>
  <c r="AN11" i="2"/>
  <c r="AN27" i="2"/>
  <c r="AO27" i="2" s="1"/>
  <c r="AN43" i="2"/>
  <c r="AO43" i="2" s="1"/>
  <c r="AW18" i="2"/>
  <c r="AX18" i="2" s="1"/>
  <c r="AW34" i="2"/>
  <c r="AX34" i="2" s="1"/>
  <c r="BF9" i="2"/>
  <c r="BG9" i="2" s="1"/>
  <c r="BF25" i="2"/>
  <c r="BG25" i="2" s="1"/>
  <c r="BF41" i="2"/>
  <c r="BX7" i="2"/>
  <c r="BX23" i="2"/>
  <c r="BY23" i="2" s="1"/>
  <c r="BX40" i="2"/>
  <c r="BY40" i="2" s="1"/>
  <c r="CG18" i="2"/>
  <c r="CH18" i="2" s="1"/>
  <c r="CG37" i="2"/>
  <c r="V4" i="2"/>
  <c r="W4" i="2" s="1"/>
  <c r="AN20" i="2"/>
  <c r="AE35" i="2"/>
  <c r="AF35" i="2" s="1"/>
  <c r="CI42" i="2"/>
  <c r="AW9" i="2"/>
  <c r="CG25" i="2"/>
  <c r="AY11" i="2"/>
  <c r="CI27" i="2"/>
  <c r="AP38" i="2"/>
  <c r="BO27" i="2"/>
  <c r="X5" i="2"/>
  <c r="X21" i="2"/>
  <c r="X37" i="2"/>
  <c r="AY3" i="2"/>
  <c r="AW19" i="2"/>
  <c r="AW35" i="2"/>
  <c r="AX35" i="2" s="1"/>
  <c r="BF10" i="2"/>
  <c r="BF26" i="2"/>
  <c r="BG26" i="2" s="1"/>
  <c r="BF42" i="2"/>
  <c r="BG42" i="2" s="1"/>
  <c r="BQ33" i="2"/>
  <c r="BX8" i="2"/>
  <c r="BX24" i="2"/>
  <c r="BY24" i="2" s="1"/>
  <c r="BX41" i="2"/>
  <c r="BY41" i="2" s="1"/>
  <c r="CG19" i="2"/>
  <c r="CH19" i="2" s="1"/>
  <c r="CG38" i="2"/>
  <c r="CH38" i="2" s="1"/>
  <c r="CI12" i="2"/>
  <c r="AG11" i="2"/>
  <c r="X35" i="2"/>
  <c r="AG4" i="2"/>
  <c r="AN18" i="2"/>
  <c r="BF18" i="2"/>
  <c r="BX6" i="2"/>
  <c r="V11" i="2"/>
  <c r="W11" i="2" s="1"/>
  <c r="X6" i="2"/>
  <c r="X22" i="2"/>
  <c r="X38" i="2"/>
  <c r="AW4" i="2"/>
  <c r="AX4" i="2" s="1"/>
  <c r="AW20" i="2"/>
  <c r="AX20" i="2" s="1"/>
  <c r="AW36" i="2"/>
  <c r="AX36" i="2" s="1"/>
  <c r="BF11" i="2"/>
  <c r="BG11" i="2" s="1"/>
  <c r="BF27" i="2"/>
  <c r="BF43" i="2"/>
  <c r="BQ18" i="2"/>
  <c r="BQ34" i="2"/>
  <c r="BX9" i="2"/>
  <c r="BY9" i="2" s="1"/>
  <c r="BX25" i="2"/>
  <c r="BY25" i="2" s="1"/>
  <c r="BX42" i="2"/>
  <c r="BY42" i="2" s="1"/>
  <c r="CG20" i="2"/>
  <c r="CG39" i="2"/>
  <c r="CH39" i="2" s="1"/>
  <c r="AG10" i="2"/>
  <c r="AP3" i="2"/>
  <c r="AE33" i="2"/>
  <c r="AY43" i="2"/>
  <c r="X7" i="2"/>
  <c r="X23" i="2"/>
  <c r="X39" i="2"/>
  <c r="AN14" i="2"/>
  <c r="AO14" i="2" s="1"/>
  <c r="AW5" i="2"/>
  <c r="AX5" i="2" s="1"/>
  <c r="AW21" i="2"/>
  <c r="AW37" i="2"/>
  <c r="BO3" i="2"/>
  <c r="BQ19" i="2"/>
  <c r="BQ35" i="2"/>
  <c r="BX10" i="2"/>
  <c r="BX26" i="2"/>
  <c r="BY26" i="2" s="1"/>
  <c r="BX43" i="2"/>
  <c r="CG21" i="2"/>
  <c r="CH21" i="2" s="1"/>
  <c r="CG40" i="2"/>
  <c r="AG9" i="2"/>
  <c r="AE37" i="2"/>
  <c r="AF37" i="2" s="1"/>
  <c r="AE36" i="2"/>
  <c r="AF36" i="2" s="1"/>
  <c r="AE34" i="2"/>
  <c r="AE41" i="2"/>
  <c r="AE38" i="2"/>
  <c r="AF38" i="2" s="1"/>
  <c r="AE28" i="2"/>
  <c r="AF28" i="2" s="1"/>
  <c r="AE25" i="2"/>
  <c r="AF25" i="2" s="1"/>
  <c r="AG43" i="2"/>
  <c r="AE22" i="2"/>
  <c r="AG27" i="2"/>
  <c r="AE24" i="2"/>
  <c r="AF24" i="2" s="1"/>
  <c r="AE40" i="2"/>
  <c r="AF40" i="2" s="1"/>
  <c r="AN39" i="2"/>
  <c r="AO39" i="2" s="1"/>
  <c r="AN7" i="2"/>
  <c r="AO7" i="2" s="1"/>
  <c r="V41" i="2"/>
  <c r="W41" i="2" s="1"/>
  <c r="V25" i="2"/>
  <c r="X34" i="2"/>
  <c r="X18" i="2"/>
  <c r="AE43" i="2"/>
  <c r="AF43" i="2" s="1"/>
  <c r="AE27" i="2"/>
  <c r="AF27" i="2" s="1"/>
  <c r="AE11" i="2"/>
  <c r="AW15" i="2"/>
  <c r="AX15" i="2" s="1"/>
  <c r="AY40" i="2"/>
  <c r="AY24" i="2"/>
  <c r="AY8" i="2"/>
  <c r="BF33" i="2"/>
  <c r="BH42" i="2"/>
  <c r="BH26" i="2"/>
  <c r="BH10" i="2"/>
  <c r="BO19" i="2"/>
  <c r="BQ3" i="2"/>
  <c r="BQ28" i="2"/>
  <c r="BQ12" i="2"/>
  <c r="BX37" i="2"/>
  <c r="BY37" i="2" s="1"/>
  <c r="BX21" i="2"/>
  <c r="BY21" i="2" s="1"/>
  <c r="BX5" i="2"/>
  <c r="BY5" i="2" s="1"/>
  <c r="CG16" i="2"/>
  <c r="CH16" i="2" s="1"/>
  <c r="CI40" i="2"/>
  <c r="CI24" i="2"/>
  <c r="CI8" i="2"/>
  <c r="CR34" i="2"/>
  <c r="CR18" i="2"/>
  <c r="V40" i="2"/>
  <c r="W40" i="2" s="1"/>
  <c r="V24" i="2"/>
  <c r="W24" i="2" s="1"/>
  <c r="V8" i="2"/>
  <c r="W8" i="2" s="1"/>
  <c r="X33" i="2"/>
  <c r="AE42" i="2"/>
  <c r="AF42" i="2" s="1"/>
  <c r="AE26" i="2"/>
  <c r="AF26" i="2" s="1"/>
  <c r="AE10" i="2"/>
  <c r="AF10" i="2" s="1"/>
  <c r="AG35" i="2"/>
  <c r="AN3" i="2"/>
  <c r="AP13" i="2"/>
  <c r="AW14" i="2"/>
  <c r="AY39" i="2"/>
  <c r="AY23" i="2"/>
  <c r="AY7" i="2"/>
  <c r="BH41" i="2"/>
  <c r="BH25" i="2"/>
  <c r="BH9" i="2"/>
  <c r="BO34" i="2"/>
  <c r="BO18" i="2"/>
  <c r="BP18" i="2" s="1"/>
  <c r="BQ43" i="2"/>
  <c r="BQ27" i="2"/>
  <c r="BQ11" i="2"/>
  <c r="BX36" i="2"/>
  <c r="BY36" i="2" s="1"/>
  <c r="BX20" i="2"/>
  <c r="BY20" i="2" s="1"/>
  <c r="BX4" i="2"/>
  <c r="BY4" i="2" s="1"/>
  <c r="CG15" i="2"/>
  <c r="CH15" i="2" s="1"/>
  <c r="CI39" i="2"/>
  <c r="CI23" i="2"/>
  <c r="CI7" i="2"/>
  <c r="BZ15" i="2"/>
  <c r="CR33" i="2"/>
  <c r="X32" i="2"/>
  <c r="BH40" i="2"/>
  <c r="BH24" i="2"/>
  <c r="BH8" i="2"/>
  <c r="BQ42" i="2"/>
  <c r="BQ10" i="2"/>
  <c r="V38" i="2"/>
  <c r="V22" i="2"/>
  <c r="V6" i="2"/>
  <c r="W6" i="2" s="1"/>
  <c r="AG33" i="2"/>
  <c r="AP43" i="2"/>
  <c r="AP27" i="2"/>
  <c r="AP11" i="2"/>
  <c r="AN35" i="2"/>
  <c r="AO35" i="2" s="1"/>
  <c r="AN19" i="2"/>
  <c r="AO19" i="2" s="1"/>
  <c r="AW3" i="2"/>
  <c r="AW28" i="2"/>
  <c r="AW12" i="2"/>
  <c r="AY37" i="2"/>
  <c r="AY21" i="2"/>
  <c r="AY5" i="2"/>
  <c r="BF14" i="2"/>
  <c r="BH39" i="2"/>
  <c r="BH23" i="2"/>
  <c r="BH7" i="2"/>
  <c r="BO32" i="2"/>
  <c r="BP32" i="2" s="1"/>
  <c r="BO16" i="2"/>
  <c r="BP16" i="2" s="1"/>
  <c r="BQ41" i="2"/>
  <c r="BQ25" i="2"/>
  <c r="BQ9" i="2"/>
  <c r="BX34" i="2"/>
  <c r="BY34" i="2" s="1"/>
  <c r="BX18" i="2"/>
  <c r="BY18" i="2" s="1"/>
  <c r="CG13" i="2"/>
  <c r="CH13" i="2" s="1"/>
  <c r="CI37" i="2"/>
  <c r="CI21" i="2"/>
  <c r="CI5" i="2"/>
  <c r="BZ13" i="2"/>
  <c r="CR15" i="2"/>
  <c r="BQ26" i="2"/>
  <c r="V37" i="2"/>
  <c r="W37" i="2" s="1"/>
  <c r="V21" i="2"/>
  <c r="W21" i="2" s="1"/>
  <c r="V5" i="2"/>
  <c r="AE39" i="2"/>
  <c r="AF39" i="2" s="1"/>
  <c r="AE23" i="2"/>
  <c r="AF23" i="2" s="1"/>
  <c r="AE7" i="2"/>
  <c r="AF7" i="2" s="1"/>
  <c r="AG32" i="2"/>
  <c r="AG16" i="2"/>
  <c r="AP42" i="2"/>
  <c r="AP26" i="2"/>
  <c r="AP10" i="2"/>
  <c r="AW43" i="2"/>
  <c r="AW27" i="2"/>
  <c r="AX27" i="2" s="1"/>
  <c r="AW11" i="2"/>
  <c r="AX11" i="2" s="1"/>
  <c r="AY36" i="2"/>
  <c r="AY20" i="2"/>
  <c r="AY4" i="2"/>
  <c r="BF13" i="2"/>
  <c r="BG13" i="2" s="1"/>
  <c r="BH38" i="2"/>
  <c r="BH22" i="2"/>
  <c r="BH6" i="2"/>
  <c r="BO15" i="2"/>
  <c r="BP15" i="2" s="1"/>
  <c r="BQ40" i="2"/>
  <c r="BQ24" i="2"/>
  <c r="BQ8" i="2"/>
  <c r="CI3" i="2"/>
  <c r="CG28" i="2"/>
  <c r="CH28" i="2" s="1"/>
  <c r="CG12" i="2"/>
  <c r="CH12" i="2" s="1"/>
  <c r="CI36" i="2"/>
  <c r="CI20" i="2"/>
  <c r="BZ28" i="2"/>
  <c r="BZ12" i="2"/>
  <c r="CR14" i="2"/>
  <c r="BH37" i="2"/>
  <c r="CG43" i="2"/>
  <c r="CH43" i="2" s="1"/>
  <c r="CG27" i="2"/>
  <c r="CH27" i="2" s="1"/>
  <c r="CG11" i="2"/>
  <c r="CH11" i="2" s="1"/>
  <c r="CI35" i="2"/>
  <c r="CR13" i="2"/>
  <c r="CG33" i="2"/>
  <c r="CH33" i="2" s="1"/>
  <c r="AP25" i="2"/>
  <c r="AY35" i="2"/>
  <c r="AY19" i="2"/>
  <c r="CI19" i="2"/>
  <c r="X3" i="2"/>
  <c r="X28" i="2"/>
  <c r="X12" i="2"/>
  <c r="AG14" i="2"/>
  <c r="AP40" i="2"/>
  <c r="AP24" i="2"/>
  <c r="AP8" i="2"/>
  <c r="AN32" i="2"/>
  <c r="AO32" i="2" s="1"/>
  <c r="AN16" i="2"/>
  <c r="AO16" i="2" s="1"/>
  <c r="AY34" i="2"/>
  <c r="AY18" i="2"/>
  <c r="BH36" i="2"/>
  <c r="BH20" i="2"/>
  <c r="BH4" i="2"/>
  <c r="BQ38" i="2"/>
  <c r="BQ22" i="2"/>
  <c r="BQ6" i="2"/>
  <c r="CG42" i="2"/>
  <c r="CH42" i="2" s="1"/>
  <c r="CG26" i="2"/>
  <c r="CH26" i="2" s="1"/>
  <c r="CG10" i="2"/>
  <c r="CH10" i="2" s="1"/>
  <c r="CI34" i="2"/>
  <c r="CI18" i="2"/>
  <c r="BZ42" i="2"/>
  <c r="BZ26" i="2"/>
  <c r="BZ10" i="2"/>
  <c r="CR3" i="2"/>
  <c r="CR28" i="2"/>
  <c r="CR12" i="2"/>
  <c r="X16" i="2"/>
  <c r="AW13" i="2"/>
  <c r="AX13" i="2" s="1"/>
  <c r="X13" i="2"/>
  <c r="AP9" i="2"/>
  <c r="BZ43" i="2"/>
  <c r="X43" i="2"/>
  <c r="X27" i="2"/>
  <c r="X11" i="2"/>
  <c r="AG13" i="2"/>
  <c r="AP23" i="2"/>
  <c r="AY33" i="2"/>
  <c r="BH35" i="2"/>
  <c r="BH19" i="2"/>
  <c r="BQ37" i="2"/>
  <c r="BQ21" i="2"/>
  <c r="BQ5" i="2"/>
  <c r="BZ41" i="2"/>
  <c r="BZ25" i="2"/>
  <c r="BZ9" i="2"/>
  <c r="CR43" i="2"/>
  <c r="CR27" i="2"/>
  <c r="CR11" i="2"/>
  <c r="BZ27" i="2"/>
  <c r="BZ40" i="2"/>
  <c r="BZ24" i="2"/>
  <c r="BZ8" i="2"/>
  <c r="CR26" i="2"/>
  <c r="BX19" i="2"/>
  <c r="BY19" i="2" s="1"/>
  <c r="BH21" i="2"/>
  <c r="BX3" i="2"/>
  <c r="BZ39" i="2"/>
  <c r="BZ23" i="2"/>
  <c r="BZ7" i="2"/>
  <c r="AP41" i="2"/>
  <c r="BH5" i="2"/>
  <c r="BO14" i="2"/>
  <c r="BP14" i="2" s="1"/>
  <c r="CH41" i="2"/>
  <c r="BY8" i="2"/>
  <c r="BY7" i="2"/>
  <c r="BY28" i="2"/>
  <c r="CH6" i="2"/>
  <c r="CH37" i="2"/>
  <c r="CH20" i="2"/>
  <c r="CH5" i="2"/>
  <c r="CH36" i="2"/>
  <c r="CH9" i="2"/>
  <c r="CH40" i="2"/>
  <c r="BY12" i="2"/>
  <c r="BY33" i="2"/>
  <c r="CH24" i="2"/>
  <c r="CH35" i="2"/>
  <c r="AX10" i="2"/>
  <c r="AX26" i="2"/>
  <c r="BY6" i="2"/>
  <c r="AX42" i="2"/>
  <c r="BY10" i="2"/>
  <c r="CH25" i="2"/>
  <c r="BG43" i="2"/>
  <c r="BY22" i="2"/>
  <c r="BG18" i="2"/>
  <c r="BG34" i="2"/>
  <c r="BP8" i="2"/>
  <c r="BP27" i="2"/>
  <c r="BY43" i="2"/>
  <c r="BP26" i="2"/>
  <c r="BY38" i="2"/>
  <c r="BP5" i="2"/>
  <c r="BP21" i="2"/>
  <c r="BG8" i="2"/>
  <c r="BP11" i="2"/>
  <c r="BP23" i="2"/>
  <c r="BP37" i="2"/>
  <c r="BP39" i="2"/>
  <c r="BP38" i="2"/>
  <c r="BG27" i="2"/>
  <c r="BP4" i="2"/>
  <c r="BP9" i="2"/>
  <c r="BG14" i="2"/>
  <c r="BP35" i="2"/>
  <c r="BP19" i="2"/>
  <c r="BP7" i="2"/>
  <c r="BG12" i="2"/>
  <c r="BP34" i="2"/>
  <c r="BP6" i="2"/>
  <c r="BG33" i="2"/>
  <c r="BG41" i="2"/>
  <c r="BG10" i="2"/>
  <c r="BP41" i="2"/>
  <c r="BG24" i="2"/>
  <c r="BG22" i="2"/>
  <c r="BG21" i="2"/>
  <c r="BG5" i="2"/>
  <c r="BG38" i="2"/>
  <c r="BG39" i="2"/>
  <c r="BG6" i="2"/>
  <c r="BG20" i="2"/>
  <c r="BG36" i="2"/>
  <c r="AX28" i="2"/>
  <c r="AX39" i="2"/>
  <c r="AX9" i="2"/>
  <c r="AX25" i="2"/>
  <c r="AX41" i="2"/>
  <c r="AX33" i="2"/>
  <c r="AX38" i="2"/>
  <c r="AX21" i="2"/>
  <c r="AX23" i="2"/>
  <c r="AX12" i="2"/>
  <c r="AX14" i="2"/>
  <c r="AX24" i="2"/>
  <c r="AX8" i="2"/>
  <c r="AO20" i="2"/>
  <c r="AX22" i="2"/>
  <c r="AX6" i="2"/>
  <c r="AO5" i="2"/>
  <c r="AO21" i="2"/>
  <c r="AO37" i="2"/>
  <c r="AX37" i="2"/>
  <c r="AO6" i="2"/>
  <c r="AO22" i="2"/>
  <c r="AO38" i="2"/>
  <c r="AX19" i="2"/>
  <c r="AX43" i="2"/>
  <c r="W27" i="2"/>
  <c r="AO18" i="2"/>
  <c r="AO23" i="2"/>
  <c r="W42" i="2"/>
  <c r="AO34" i="2"/>
  <c r="AO11" i="2"/>
  <c r="L5" i="2"/>
  <c r="M5" i="2" s="1"/>
  <c r="W22" i="2"/>
  <c r="W38" i="2"/>
  <c r="W7" i="2"/>
  <c r="W23" i="2"/>
  <c r="AF18" i="2"/>
  <c r="AF34" i="2"/>
  <c r="N32" i="2"/>
  <c r="N26" i="2"/>
  <c r="AF8" i="2"/>
  <c r="N23" i="2"/>
  <c r="AF6" i="2"/>
  <c r="N39" i="2"/>
  <c r="N40" i="2"/>
  <c r="N7" i="2"/>
  <c r="N8" i="2"/>
  <c r="N25" i="2"/>
  <c r="L35" i="2"/>
  <c r="M35" i="2" s="1"/>
  <c r="L4" i="2"/>
  <c r="M4" i="2" s="1"/>
  <c r="N16" i="2"/>
  <c r="N13" i="2"/>
  <c r="N41" i="2"/>
  <c r="N10" i="2"/>
  <c r="L26" i="2"/>
  <c r="M26" i="2" s="1"/>
  <c r="N43" i="2"/>
  <c r="L33" i="2"/>
  <c r="M33" i="2" s="1"/>
  <c r="AF22" i="2"/>
  <c r="L15" i="2"/>
  <c r="M15" i="2" s="1"/>
  <c r="N24" i="2"/>
  <c r="N9" i="2"/>
  <c r="AF33" i="2"/>
  <c r="N21" i="2"/>
  <c r="N22" i="2"/>
  <c r="N27" i="2"/>
  <c r="N42" i="2"/>
  <c r="N6" i="2"/>
  <c r="N38" i="2"/>
  <c r="N12" i="2"/>
  <c r="N28" i="2"/>
  <c r="L38" i="2"/>
  <c r="M38" i="2" s="1"/>
  <c r="N5" i="2"/>
  <c r="L37" i="2"/>
  <c r="M37" i="2" s="1"/>
  <c r="N11" i="2"/>
  <c r="N14" i="2"/>
  <c r="L22" i="2"/>
  <c r="M22" i="2" s="1"/>
  <c r="L21" i="2"/>
  <c r="M21" i="2" s="1"/>
  <c r="AF11" i="2"/>
  <c r="L10" i="2"/>
  <c r="M10" i="2" s="1"/>
  <c r="AF12" i="2"/>
  <c r="N37" i="2"/>
  <c r="L20" i="2"/>
  <c r="M20" i="2" s="1"/>
  <c r="L34" i="2"/>
  <c r="M34" i="2" s="1"/>
  <c r="L6" i="2"/>
  <c r="M6" i="2" s="1"/>
  <c r="AF41" i="2"/>
  <c r="W5" i="2"/>
  <c r="N18" i="2"/>
  <c r="N15" i="2"/>
  <c r="AF5" i="2"/>
  <c r="L36" i="2"/>
  <c r="M36" i="2" s="1"/>
  <c r="L32" i="2"/>
  <c r="M32" i="2" s="1"/>
  <c r="L14" i="2"/>
  <c r="M14" i="2" s="1"/>
  <c r="N4" i="2"/>
  <c r="N19" i="2"/>
  <c r="AF20" i="2"/>
  <c r="L13" i="2"/>
  <c r="M13" i="2" s="1"/>
  <c r="N35" i="2"/>
  <c r="W20" i="2"/>
  <c r="L3" i="2"/>
  <c r="L28" i="2"/>
  <c r="M28" i="2" s="1"/>
  <c r="L12" i="2"/>
  <c r="M12" i="2" s="1"/>
  <c r="L18" i="2"/>
  <c r="M18" i="2" s="1"/>
  <c r="N33" i="2"/>
  <c r="W18" i="2"/>
  <c r="AF4" i="2"/>
  <c r="L43" i="2"/>
  <c r="M43" i="2" s="1"/>
  <c r="L27" i="2"/>
  <c r="M27" i="2" s="1"/>
  <c r="L11" i="2"/>
  <c r="M11" i="2" s="1"/>
  <c r="N34" i="2"/>
  <c r="W36" i="2"/>
  <c r="L16" i="2"/>
  <c r="M16" i="2" s="1"/>
  <c r="W34" i="2"/>
  <c r="W3" i="2"/>
  <c r="L41" i="2"/>
  <c r="M41" i="2" s="1"/>
  <c r="L25" i="2"/>
  <c r="M25" i="2" s="1"/>
  <c r="L9" i="2"/>
  <c r="M9" i="2" s="1"/>
  <c r="N36" i="2"/>
  <c r="L40" i="2"/>
  <c r="M40" i="2" s="1"/>
  <c r="L24" i="2"/>
  <c r="M24" i="2" s="1"/>
  <c r="L8" i="2"/>
  <c r="M8" i="2" s="1"/>
  <c r="N20" i="2"/>
  <c r="L19" i="2"/>
  <c r="M19" i="2" s="1"/>
  <c r="L42" i="2"/>
  <c r="M42" i="2" s="1"/>
  <c r="L39" i="2"/>
  <c r="M39" i="2" s="1"/>
  <c r="L23" i="2"/>
  <c r="M23" i="2" s="1"/>
  <c r="L7" i="2"/>
  <c r="M7" i="2" s="1"/>
  <c r="W25" i="2"/>
  <c r="W9" i="2"/>
  <c r="N3" i="2"/>
  <c r="M3" i="2" l="1"/>
  <c r="N31" i="2"/>
  <c r="CR31" i="2"/>
  <c r="BQ31" i="2"/>
  <c r="CG31" i="2"/>
  <c r="CH31" i="2" s="1"/>
  <c r="L31" i="2"/>
  <c r="M31" i="2" s="1"/>
  <c r="BO31" i="2"/>
  <c r="BP31" i="2" s="1"/>
  <c r="BQ14" i="2"/>
  <c r="BQ16" i="2"/>
  <c r="V15" i="2"/>
  <c r="W15" i="2" s="1"/>
  <c r="AY14" i="2"/>
  <c r="AP31" i="2"/>
  <c r="AN30" i="2"/>
  <c r="AO30" i="2" s="1"/>
  <c r="CI14" i="2"/>
  <c r="AY32" i="2"/>
  <c r="BF30" i="2"/>
  <c r="BG30" i="2" s="1"/>
  <c r="BX32" i="2"/>
  <c r="BY32" i="2" s="1"/>
  <c r="AY16" i="2"/>
  <c r="AW31" i="2"/>
  <c r="AX31" i="2" s="1"/>
  <c r="AE13" i="2"/>
  <c r="AF13" i="2" s="1"/>
  <c r="AN13" i="2"/>
  <c r="AO13" i="2" s="1"/>
  <c r="BO13" i="2"/>
  <c r="BP13" i="2" s="1"/>
  <c r="CI13" i="2"/>
  <c r="BF31" i="2"/>
  <c r="BG31" i="2" s="1"/>
  <c r="AY13" i="2"/>
  <c r="CR30" i="2"/>
  <c r="CI30" i="2"/>
  <c r="BZ30" i="2"/>
  <c r="CG29" i="2"/>
  <c r="CH29" i="2" s="1"/>
  <c r="BO29" i="2"/>
  <c r="BP29" i="2" s="1"/>
  <c r="AY30" i="2"/>
  <c r="BX30" i="2"/>
  <c r="BY30" i="2" s="1"/>
  <c r="BH29" i="2"/>
  <c r="X29" i="2"/>
  <c r="X44" i="2" s="1" a="1"/>
  <c r="X44" i="2" s="1"/>
  <c r="BF29" i="2"/>
  <c r="BG29" i="2" s="1"/>
  <c r="AE30" i="2"/>
  <c r="AF30" i="2" s="1"/>
  <c r="CG30" i="2"/>
  <c r="CH30" i="2" s="1"/>
  <c r="BH30" i="2"/>
  <c r="BQ15" i="2"/>
  <c r="BX14" i="2"/>
  <c r="BY14" i="2" s="1"/>
  <c r="BH31" i="2"/>
  <c r="BH14" i="2"/>
  <c r="CR29" i="2"/>
  <c r="X31" i="2"/>
  <c r="AY31" i="2"/>
  <c r="V32" i="2"/>
  <c r="W32" i="2" s="1"/>
  <c r="BH15" i="2"/>
  <c r="N30" i="2"/>
  <c r="N29" i="2"/>
  <c r="N44" i="2" s="1" a="1"/>
  <c r="N44" i="2" s="1"/>
  <c r="L29" i="2"/>
  <c r="M29" i="2" s="1"/>
  <c r="AG31" i="2"/>
  <c r="AE14" i="2"/>
  <c r="AF14" i="2" s="1"/>
  <c r="AY15" i="2"/>
  <c r="V31" i="2"/>
  <c r="W31" i="2" s="1"/>
  <c r="BQ29" i="2"/>
  <c r="AN29" i="2"/>
  <c r="AO29" i="2" s="1"/>
  <c r="BQ32" i="2"/>
  <c r="AE15" i="2"/>
  <c r="AF15" i="2" s="1"/>
  <c r="CI32" i="2"/>
  <c r="AP29" i="2"/>
  <c r="AG29" i="2"/>
  <c r="BF32" i="2"/>
  <c r="BG32" i="2" s="1"/>
  <c r="BH32" i="2"/>
  <c r="BX15" i="2"/>
  <c r="BY15" i="2" s="1"/>
  <c r="L30" i="2"/>
  <c r="M30" i="2" s="1"/>
  <c r="AG15" i="2"/>
  <c r="BZ33" i="2"/>
  <c r="BH16" i="2"/>
  <c r="AG30" i="2"/>
  <c r="CI31" i="2"/>
  <c r="BO30" i="2"/>
  <c r="BP30" i="2" s="1"/>
  <c r="BZ29" i="2"/>
  <c r="CR17" i="2"/>
  <c r="AY17" i="2"/>
  <c r="BF28" i="2"/>
  <c r="BG28" i="2" s="1"/>
  <c r="AP28" i="2"/>
  <c r="AP44" i="2" s="1" a="1"/>
  <c r="AP44" i="2" s="1"/>
  <c r="BH17" i="2"/>
  <c r="N17" i="2"/>
  <c r="X17" i="2"/>
  <c r="BQ17" i="2"/>
  <c r="BZ17" i="2"/>
  <c r="BF16" i="2"/>
  <c r="BG16" i="2" s="1"/>
  <c r="CR16" i="2"/>
  <c r="AW16" i="2"/>
  <c r="AX16" i="2" s="1"/>
  <c r="L17" i="2"/>
  <c r="M17" i="2" s="1"/>
  <c r="V28" i="2"/>
  <c r="W28" i="2" s="1"/>
  <c r="AG17" i="2"/>
  <c r="BX16" i="2"/>
  <c r="BY16" i="2" s="1"/>
  <c r="AW17" i="2"/>
  <c r="AX17" i="2" s="1"/>
  <c r="AE16" i="2"/>
  <c r="AF16" i="2" s="1"/>
  <c r="AP33" i="2"/>
  <c r="V13" i="2"/>
  <c r="W13" i="2" s="1"/>
  <c r="AP17" i="2"/>
  <c r="X30" i="2"/>
  <c r="AP30" i="2"/>
  <c r="AN17" i="2"/>
  <c r="AO17" i="2" s="1"/>
  <c r="BH33" i="2"/>
  <c r="BH13" i="2"/>
  <c r="AN28" i="2"/>
  <c r="AO28" i="2" s="1"/>
  <c r="AE31" i="2"/>
  <c r="AF31" i="2" s="1"/>
  <c r="CG32" i="2"/>
  <c r="CH32" i="2" s="1"/>
  <c r="AW32" i="2"/>
  <c r="AX32" i="2" s="1"/>
  <c r="CR32" i="2"/>
  <c r="AY29" i="2"/>
  <c r="AN12" i="2"/>
  <c r="AO12" i="2" s="1"/>
  <c r="AG12" i="2"/>
  <c r="V33" i="2"/>
  <c r="W33" i="2" s="1"/>
  <c r="CI33" i="2"/>
  <c r="V16" i="2"/>
  <c r="W16" i="2" s="1"/>
  <c r="BO17" i="2"/>
  <c r="BP17" i="2" s="1"/>
  <c r="AY28" i="2"/>
  <c r="AE17" i="2"/>
  <c r="AF17" i="2" s="1"/>
  <c r="BF17" i="2"/>
  <c r="BG17" i="2" s="1"/>
  <c r="BH28" i="2"/>
  <c r="V17" i="2"/>
  <c r="W17" i="2" s="1"/>
  <c r="AY12" i="2"/>
  <c r="AP32" i="2"/>
  <c r="V30" i="2"/>
  <c r="W30" i="2" s="1"/>
  <c r="V12" i="2"/>
  <c r="W12" i="2" s="1"/>
  <c r="BH12" i="2"/>
  <c r="CI17" i="2"/>
  <c r="BQ30" i="2"/>
  <c r="BX29" i="2"/>
  <c r="BY29" i="2" s="1"/>
  <c r="CI29" i="2"/>
  <c r="AP16" i="2"/>
  <c r="AN31" i="2"/>
  <c r="AO31" i="2" s="1"/>
  <c r="V29" i="2"/>
  <c r="W29" i="2" s="1"/>
  <c r="CG17" i="2"/>
  <c r="CH17" i="2" s="1"/>
  <c r="BX13" i="2"/>
  <c r="BY13" i="2" s="1"/>
  <c r="BZ14" i="2"/>
  <c r="AP14" i="2"/>
  <c r="X14" i="2"/>
  <c r="CG14" i="2"/>
  <c r="CH14" i="2" s="1"/>
  <c r="BZ16" i="2"/>
  <c r="AE29" i="2"/>
  <c r="AF29" i="2" s="1"/>
  <c r="BO33" i="2"/>
  <c r="BP33" i="2" s="1"/>
  <c r="BX31" i="2"/>
  <c r="BY31" i="2" s="1"/>
  <c r="CI28" i="2"/>
  <c r="BF15" i="2"/>
  <c r="BG15" i="2" s="1"/>
  <c r="AP15" i="2"/>
  <c r="X15" i="2"/>
  <c r="BZ32" i="2"/>
  <c r="BY3" i="2"/>
  <c r="BP3" i="2"/>
  <c r="BG3" i="2"/>
  <c r="AX3" i="2"/>
  <c r="AO3" i="2"/>
  <c r="AF3" i="2"/>
  <c r="L44" i="2" l="1" a="1"/>
  <c r="L44" i="2" s="1"/>
  <c r="V44" i="2" a="1"/>
  <c r="V44" i="2" s="1"/>
  <c r="CH44" i="2"/>
  <c r="M44" i="2"/>
  <c r="CQ44" i="2"/>
  <c r="AO44" i="2"/>
  <c r="BG44" i="2"/>
  <c r="BP44" i="2"/>
  <c r="W44" i="2"/>
  <c r="AX44" i="2"/>
  <c r="BY44" i="2"/>
  <c r="AF4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<sst xmlns="http://schemas.openxmlformats.org/spreadsheetml/2006/main" count="128" uniqueCount="22">
  <si>
    <t>树木位置-X</t>
    <phoneticPr fontId="1" type="noConversion"/>
  </si>
  <si>
    <t>树木位置-Y</t>
    <phoneticPr fontId="1" type="noConversion"/>
  </si>
  <si>
    <t>树木-ID</t>
    <phoneticPr fontId="1" type="noConversion"/>
  </si>
  <si>
    <t>树木-DBH</t>
    <phoneticPr fontId="1" type="noConversion"/>
  </si>
  <si>
    <t>1米合并距离</t>
    <phoneticPr fontId="1" type="noConversion"/>
  </si>
  <si>
    <t>2米合并距离</t>
    <phoneticPr fontId="1" type="noConversion"/>
  </si>
  <si>
    <t>3米合并距离</t>
    <phoneticPr fontId="1" type="noConversion"/>
  </si>
  <si>
    <t>4米合并距离</t>
    <phoneticPr fontId="1" type="noConversion"/>
  </si>
  <si>
    <t>5米合并距离</t>
    <phoneticPr fontId="1" type="noConversion"/>
  </si>
  <si>
    <t>6米合并距离</t>
    <phoneticPr fontId="1" type="noConversion"/>
  </si>
  <si>
    <t>7米合并距离</t>
    <phoneticPr fontId="1" type="noConversion"/>
  </si>
  <si>
    <t>8米合并距离</t>
    <phoneticPr fontId="1" type="noConversion"/>
  </si>
  <si>
    <t>9米合并距离</t>
    <phoneticPr fontId="1" type="noConversion"/>
  </si>
  <si>
    <t>10米合并距离</t>
    <phoneticPr fontId="1" type="noConversion"/>
  </si>
  <si>
    <t>参考值</t>
    <phoneticPr fontId="1" type="noConversion"/>
  </si>
  <si>
    <t>Xi-Xir</t>
    <phoneticPr fontId="1" type="noConversion"/>
  </si>
  <si>
    <t>(Xi-Xir)*(Xi-Xir)</t>
    <phoneticPr fontId="1" type="noConversion"/>
  </si>
  <si>
    <t>(Xi/Xir)-1</t>
    <phoneticPr fontId="1" type="noConversion"/>
  </si>
  <si>
    <t>树木-DBH-厘米</t>
    <phoneticPr fontId="1" type="noConversion"/>
  </si>
  <si>
    <t>偏差Rmese</t>
    <phoneticPr fontId="1" type="noConversion"/>
  </si>
  <si>
    <t>相对偏差Brel</t>
    <phoneticPr fontId="1" type="noConversion"/>
  </si>
  <si>
    <t>误差Bias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</si>
</sst>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胸径!$B$2:$B$11</c:f>
              <c:numCache>
                <c:formatCode>General</c:formatCode>
                <c:ptCount val="10"/>
                <c:pt idx="0">
                  <c:v>1.6650642703482181</c:v>
                </c:pt>
                <c:pt idx="1">
                  <c:v>2.0702303394879964</c:v>
                </c:pt>
                <c:pt idx="2">
                  <c:v>2.6481931253721447</c:v>
                </c:pt>
                <c:pt idx="3">
                  <c:v>5.0874307090625033</c:v>
                </c:pt>
                <c:pt idx="4">
                  <c:v>6.0929587510062317</c:v>
                </c:pt>
                <c:pt idx="5">
                  <c:v>7.5119741811031924</c:v>
                </c:pt>
                <c:pt idx="6">
                  <c:v>7.5205896240044199</c:v>
                </c:pt>
                <c:pt idx="7">
                  <c:v>7.4303596078816421</c:v>
                </c:pt>
                <c:pt idx="8">
                  <c:v>7.75949457745548</c:v>
                </c:pt>
                <c:pt idx="9">
                  <c:v>7.5965492807991284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B-49B5-89BA-96584C864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632464"/>
        <c:axId val="1231629104"/>
      </c:lineChart>
      <c:catAx>
        <c:axId val="123163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1629104"/>
        <c:crosses val="autoZero"/>
        <c:auto val="1"/>
        <c:lblAlgn val="ctr"/>
        <c:lblOffset val="100"/>
        <c:noMultiLvlLbl val="0"/>
      </c:catAx>
      <c:valAx>
        <c:axId val="12316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16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胸径!$C$2:$C$11</c:f>
              <c:numCache>
                <c:formatCode>General</c:formatCode>
                <c:ptCount val="10"/>
                <c:pt idx="0">
                  <c:v>1.0137821644363098E-3</c:v>
                </c:pt>
                <c:pt idx="1">
                  <c:v>1.6304106512027728E-2</c:v>
                </c:pt>
                <c:pt idx="2">
                  <c:v>1.35285805915115E-2</c:v>
                </c:pt>
                <c:pt idx="3">
                  <c:v>9.7229642208947267E-3</c:v>
                </c:pt>
                <c:pt idx="4">
                  <c:v>-3.6532007896489249E-2</c:v>
                </c:pt>
                <c:pt idx="5">
                  <c:v>-4.4195283350902198E-2</c:v>
                </c:pt>
                <c:pt idx="6">
                  <c:v>-4.7000379292136081E-2</c:v>
                </c:pt>
                <c:pt idx="7">
                  <c:v>-4.7510660004779201E-2</c:v>
                </c:pt>
                <c:pt idx="8">
                  <c:v>-6.3265993100172405E-2</c:v>
                </c:pt>
                <c:pt idx="9">
                  <c:v>-5.1752898145205027E-2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3-4057-804B-97912A9C1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338544"/>
        <c:axId val="1235145216"/>
      </c:lineChart>
      <c:catAx>
        <c:axId val="125633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5145216"/>
        <c:crosses val="autoZero"/>
        <c:auto val="1"/>
        <c:lblAlgn val="ctr"/>
        <c:lblOffset val="100"/>
        <c:noMultiLvlLbl val="0"/>
      </c:catAx>
      <c:valAx>
        <c:axId val="1235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3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胸径!$A$2:$A$11</c:f>
              <c:numCache>
                <c:formatCode>General</c:formatCode>
                <c:ptCount val="10"/>
                <c:pt idx="0">
                  <c:v>-1.7073170731707214E-2</c:v>
                </c:pt>
                <c:pt idx="1">
                  <c:v>0.44878048780487717</c:v>
                </c:pt>
                <c:pt idx="2">
                  <c:v>0.52926829268292597</c:v>
                </c:pt>
                <c:pt idx="3">
                  <c:v>0.30243902439024339</c:v>
                </c:pt>
                <c:pt idx="4">
                  <c:v>-0.69512195121951292</c:v>
                </c:pt>
                <c:pt idx="5">
                  <c:v>-0.66341463414634183</c:v>
                </c:pt>
                <c:pt idx="6">
                  <c:v>-0.87560975609756164</c:v>
                </c:pt>
                <c:pt idx="7">
                  <c:v>-1.1707317073170738</c:v>
                </c:pt>
                <c:pt idx="8">
                  <c:v>-2.3414634146341466</c:v>
                </c:pt>
                <c:pt idx="9">
                  <c:v>-2.2512195121951222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4-469B-9E1D-F90A897B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923984"/>
        <c:axId val="1232924464"/>
      </c:lineChart>
      <c:catAx>
        <c:axId val="123292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924464"/>
        <c:crosses val="autoZero"/>
        <c:auto val="1"/>
        <c:lblAlgn val="ctr"/>
        <c:lblOffset val="100"/>
        <c:noMultiLvlLbl val="0"/>
      </c:catAx>
      <c:valAx>
        <c:axId val="12329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92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胸径!$E$2:$E$11</c:f>
              <c:numCache>
                <c:formatCode>General</c:formatCode>
                <c:ptCount val="10"/>
                <c:pt idx="0">
                  <c:v>1.7073170731707214E-2</c:v>
                </c:pt>
                <c:pt idx="1">
                  <c:v>0.44878048780487717</c:v>
                </c:pt>
                <c:pt idx="2">
                  <c:v>0.52926829268292597</c:v>
                </c:pt>
                <c:pt idx="3">
                  <c:v>0.30243902439024339</c:v>
                </c:pt>
                <c:pt idx="4">
                  <c:v>0.69512195121951292</c:v>
                </c:pt>
                <c:pt idx="5">
                  <c:v>0.66341463414634183</c:v>
                </c:pt>
                <c:pt idx="6">
                  <c:v>0.87560975609756164</c:v>
                </c:pt>
                <c:pt idx="7">
                  <c:v>1.1707317073170738</c:v>
                </c:pt>
                <c:pt idx="8">
                  <c:v>2.3414634146341466</c:v>
                </c:pt>
                <c:pt idx="9">
                  <c:v>2.2512195121951222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5-476D-9A64-436484DA9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452656"/>
        <c:axId val="645450256"/>
      </c:lineChart>
      <c:catAx>
        <c:axId val="64545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450256"/>
        <c:crosses val="autoZero"/>
        <c:auto val="1"/>
        <c:lblAlgn val="ctr"/>
        <c:lblOffset val="100"/>
        <c:noMultiLvlLbl val="0"/>
      </c:catAx>
      <c:valAx>
        <c:axId val="6454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4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17</xdr:row>
      <xdr:rowOff>146050</xdr:rowOff>
    </xdr:from>
    <xdr:to>
      <xdr:col>13</xdr:col>
      <xdr:colOff>298450</xdr:colOff>
      <xdr:row>33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49DD2C-4542-08CA-3F89-63D791F3C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431800</xdr:colOff>
      <xdr:row>35</xdr:row>
      <xdr:rowOff>95250</xdr:rowOff>
    </xdr:from>
    <xdr:to>
      <xdr:col>13</xdr:col>
      <xdr:colOff>381000</xdr:colOff>
      <xdr:row>50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8AF094B-EE40-CEC1-B23F-1647EF13E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361950</xdr:colOff>
      <xdr:row>0</xdr:row>
      <xdr:rowOff>88900</xdr:rowOff>
    </xdr:from>
    <xdr:to>
      <xdr:col>13</xdr:col>
      <xdr:colOff>311150</xdr:colOff>
      <xdr:row>15</xdr:row>
      <xdr:rowOff>165100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9231FC5-3507-9704-1329-177485A9F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234950</xdr:colOff>
      <xdr:row>12</xdr:row>
      <xdr:rowOff>50800</xdr:rowOff>
    </xdr:from>
    <xdr:to>
      <xdr:col>7</xdr:col>
      <xdr:colOff>184150</xdr:colOff>
      <xdr:row>27</xdr:row>
      <xdr:rowOff>127000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F56D007-3200-AD89-C14A-AD7A937EB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A61F-597C-4B3A-9406-95E3B8B63C3F}">
  <dimension ref="A1:CR59"/>
  <sheetViews>
    <sheetView tabSelected="1" topLeftCell="A25" zoomScaleNormal="100" workbookViewId="0">
      <selection activeCell="R46" sqref="R46"/>
    </sheetView>
  </sheetViews>
  <sheetFormatPr defaultRowHeight="14" x14ac:dyDescent="0.3"/>
  <cols>
    <col min="13" max="14" width="16.4140625" customWidth="1"/>
  </cols>
  <sheetData>
    <row r="1" spans="1:96" x14ac:dyDescent="0.3">
      <c r="A1" s="3" t="s">
        <v>14</v>
      </c>
      <c r="B1" s="3"/>
      <c r="C1" s="3"/>
      <c r="D1" s="3"/>
      <c r="G1" s="3" t="s">
        <v>4</v>
      </c>
      <c r="H1" s="3"/>
      <c r="I1" s="3"/>
      <c r="J1" s="3"/>
      <c r="L1" s="2" t="s">
        <v>21</v>
      </c>
      <c r="M1" s="1" t="s">
        <v>19</v>
      </c>
      <c r="N1" s="1" t="s">
        <v>20</v>
      </c>
      <c r="Q1" s="3" t="s">
        <v>5</v>
      </c>
      <c r="R1" s="3"/>
      <c r="S1" s="3"/>
      <c r="T1" s="3"/>
      <c r="V1" s="2" t="s">
        <v>21</v>
      </c>
      <c r="W1" s="1" t="s">
        <v>19</v>
      </c>
      <c r="X1" s="1" t="s">
        <v>20</v>
      </c>
      <c r="Z1" s="3" t="s">
        <v>6</v>
      </c>
      <c r="AA1" s="3"/>
      <c r="AB1" s="3"/>
      <c r="AC1" s="3"/>
      <c r="AE1" s="2" t="s">
        <v>21</v>
      </c>
      <c r="AF1" s="1" t="s">
        <v>19</v>
      </c>
      <c r="AG1" s="1" t="s">
        <v>20</v>
      </c>
      <c r="AI1" s="3" t="s">
        <v>7</v>
      </c>
      <c r="AJ1" s="3"/>
      <c r="AK1" s="3"/>
      <c r="AL1" s="3"/>
      <c r="AN1" s="2" t="s">
        <v>21</v>
      </c>
      <c r="AO1" s="1" t="s">
        <v>19</v>
      </c>
      <c r="AP1" s="1" t="s">
        <v>20</v>
      </c>
      <c r="AR1" s="3" t="s">
        <v>8</v>
      </c>
      <c r="AS1" s="3"/>
      <c r="AT1" s="3"/>
      <c r="AU1" s="3"/>
      <c r="AW1" s="2" t="s">
        <v>21</v>
      </c>
      <c r="AX1" s="1" t="s">
        <v>19</v>
      </c>
      <c r="AY1" s="1" t="s">
        <v>20</v>
      </c>
      <c r="BA1" s="3" t="s">
        <v>9</v>
      </c>
      <c r="BB1" s="3"/>
      <c r="BC1" s="3"/>
      <c r="BD1" s="3"/>
      <c r="BF1" s="2" t="s">
        <v>21</v>
      </c>
      <c r="BG1" s="1" t="s">
        <v>19</v>
      </c>
      <c r="BH1" s="1" t="s">
        <v>20</v>
      </c>
      <c r="BJ1" s="3" t="s">
        <v>10</v>
      </c>
      <c r="BK1" s="3"/>
      <c r="BL1" s="3"/>
      <c r="BM1" s="3"/>
      <c r="BO1" s="2" t="s">
        <v>21</v>
      </c>
      <c r="BP1" s="1" t="s">
        <v>19</v>
      </c>
      <c r="BQ1" s="1" t="s">
        <v>20</v>
      </c>
      <c r="BS1" s="3" t="s">
        <v>11</v>
      </c>
      <c r="BT1" s="3"/>
      <c r="BU1" s="3"/>
      <c r="BV1" s="3"/>
      <c r="BX1" s="2" t="s">
        <v>21</v>
      </c>
      <c r="BY1" s="1" t="s">
        <v>19</v>
      </c>
      <c r="BZ1" s="1" t="s">
        <v>20</v>
      </c>
      <c r="CB1" s="3" t="s">
        <v>12</v>
      </c>
      <c r="CC1" s="3"/>
      <c r="CD1" s="3"/>
      <c r="CE1" s="3"/>
      <c r="CG1" s="2" t="s">
        <v>21</v>
      </c>
      <c r="CH1" s="1" t="s">
        <v>19</v>
      </c>
      <c r="CI1" s="1" t="s">
        <v>20</v>
      </c>
      <c r="CK1" s="3" t="s">
        <v>13</v>
      </c>
      <c r="CL1" s="3"/>
      <c r="CM1" s="3"/>
      <c r="CN1" s="3"/>
      <c r="CP1" s="2" t="s">
        <v>21</v>
      </c>
      <c r="CQ1" s="1" t="s">
        <v>19</v>
      </c>
      <c r="CR1" s="1" t="s">
        <v>20</v>
      </c>
    </row>
    <row r="2" spans="1:96" x14ac:dyDescent="0.3">
      <c r="A2" t="s">
        <v>0</v>
      </c>
      <c r="B2" t="s">
        <v>1</v>
      </c>
      <c r="C2" t="s">
        <v>2</v>
      </c>
      <c r="D2" t="s">
        <v>3</v>
      </c>
      <c r="G2" t="s">
        <v>2</v>
      </c>
      <c r="H2" t="s">
        <v>0</v>
      </c>
      <c r="I2" t="s">
        <v>1</v>
      </c>
      <c r="J2" t="s">
        <v>3</v>
      </c>
      <c r="K2" t="s">
        <v>18</v>
      </c>
      <c r="L2" s="1" t="s">
        <v>15</v>
      </c>
      <c r="M2" s="1" t="s">
        <v>16</v>
      </c>
      <c r="N2" s="1" t="s">
        <v>17</v>
      </c>
      <c r="Q2" t="s">
        <v>2</v>
      </c>
      <c r="R2" t="s">
        <v>0</v>
      </c>
      <c r="S2" t="s">
        <v>1</v>
      </c>
      <c r="T2" t="s">
        <v>3</v>
      </c>
      <c r="U2" t="s">
        <v>18</v>
      </c>
      <c r="V2" s="1" t="s">
        <v>15</v>
      </c>
      <c r="W2" s="1" t="s">
        <v>16</v>
      </c>
      <c r="X2" s="1" t="s">
        <v>17</v>
      </c>
      <c r="Z2" t="s">
        <v>2</v>
      </c>
      <c r="AA2" t="s">
        <v>0</v>
      </c>
      <c r="AB2" t="s">
        <v>1</v>
      </c>
      <c r="AC2" t="s">
        <v>3</v>
      </c>
      <c r="AD2" t="s">
        <v>18</v>
      </c>
      <c r="AE2" s="1" t="s">
        <v>15</v>
      </c>
      <c r="AF2" s="1" t="s">
        <v>16</v>
      </c>
      <c r="AG2" s="1" t="s">
        <v>17</v>
      </c>
      <c r="AI2" t="s">
        <v>2</v>
      </c>
      <c r="AJ2" t="s">
        <v>0</v>
      </c>
      <c r="AK2" t="s">
        <v>1</v>
      </c>
      <c r="AL2" t="s">
        <v>3</v>
      </c>
      <c r="AM2" t="s">
        <v>18</v>
      </c>
      <c r="AN2" s="1" t="s">
        <v>15</v>
      </c>
      <c r="AO2" s="1" t="s">
        <v>16</v>
      </c>
      <c r="AP2" s="1" t="s">
        <v>17</v>
      </c>
      <c r="AR2" t="s">
        <v>2</v>
      </c>
      <c r="AS2" t="s">
        <v>0</v>
      </c>
      <c r="AT2" t="s">
        <v>1</v>
      </c>
      <c r="AU2" t="s">
        <v>3</v>
      </c>
      <c r="AV2" t="s">
        <v>18</v>
      </c>
      <c r="AW2" s="1" t="s">
        <v>15</v>
      </c>
      <c r="AX2" s="1" t="s">
        <v>16</v>
      </c>
      <c r="AY2" s="1" t="s">
        <v>17</v>
      </c>
      <c r="BA2" t="s">
        <v>2</v>
      </c>
      <c r="BB2" t="s">
        <v>0</v>
      </c>
      <c r="BC2" t="s">
        <v>1</v>
      </c>
      <c r="BD2" t="s">
        <v>3</v>
      </c>
      <c r="BE2" t="s">
        <v>18</v>
      </c>
      <c r="BF2" s="1" t="s">
        <v>15</v>
      </c>
      <c r="BG2" s="1" t="s">
        <v>16</v>
      </c>
      <c r="BH2" s="1" t="s">
        <v>17</v>
      </c>
      <c r="BJ2" t="s">
        <v>2</v>
      </c>
      <c r="BK2" t="s">
        <v>0</v>
      </c>
      <c r="BL2" t="s">
        <v>1</v>
      </c>
      <c r="BM2" t="s">
        <v>3</v>
      </c>
      <c r="BN2" t="s">
        <v>18</v>
      </c>
      <c r="BO2" s="1" t="s">
        <v>15</v>
      </c>
      <c r="BP2" s="1" t="s">
        <v>16</v>
      </c>
      <c r="BQ2" s="1" t="s">
        <v>17</v>
      </c>
      <c r="BS2" t="s">
        <v>2</v>
      </c>
      <c r="BT2" t="s">
        <v>0</v>
      </c>
      <c r="BU2" t="s">
        <v>1</v>
      </c>
      <c r="BV2" t="s">
        <v>3</v>
      </c>
      <c r="BW2" t="s">
        <v>18</v>
      </c>
      <c r="BX2" s="1" t="s">
        <v>15</v>
      </c>
      <c r="BY2" s="1" t="s">
        <v>16</v>
      </c>
      <c r="BZ2" s="1" t="s">
        <v>17</v>
      </c>
      <c r="CB2" t="s">
        <v>2</v>
      </c>
      <c r="CC2" t="s">
        <v>0</v>
      </c>
      <c r="CD2" t="s">
        <v>1</v>
      </c>
      <c r="CE2" t="s">
        <v>3</v>
      </c>
      <c r="CF2" t="s">
        <v>18</v>
      </c>
      <c r="CG2" s="1" t="s">
        <v>15</v>
      </c>
      <c r="CH2" s="1" t="s">
        <v>16</v>
      </c>
      <c r="CI2" s="1" t="s">
        <v>17</v>
      </c>
      <c r="CK2" t="s">
        <v>2</v>
      </c>
      <c r="CL2" t="s">
        <v>0</v>
      </c>
      <c r="CM2" t="s">
        <v>1</v>
      </c>
      <c r="CN2" t="s">
        <v>3</v>
      </c>
      <c r="CO2" t="s">
        <v>18</v>
      </c>
      <c r="CP2" s="1" t="s">
        <v>15</v>
      </c>
      <c r="CQ2" s="1" t="s">
        <v>16</v>
      </c>
      <c r="CR2" s="1" t="s">
        <v>17</v>
      </c>
    </row>
    <row r="3" spans="1:96" x14ac:dyDescent="0.3">
      <c r="A3">
        <v>3.5779999999999998</v>
      </c>
      <c r="B3">
        <v>7.327</v>
      </c>
      <c r="C3">
        <v>1</v>
      </c>
      <c r="D3">
        <v>0.14899999999999999</v>
      </c>
      <c r="E3">
        <f>D3*100</f>
        <v>14.899999999999999</v>
      </c>
      <c r="F3">
        <f>D3+-0.02</f>
        <v>0.129</v>
      </c>
      <c r="G3">
        <v>1</v>
      </c>
      <c r="H3">
        <v>3.7029999999999998</v>
      </c>
      <c r="I3">
        <v>7.2629999999999999</v>
      </c>
      <c r="J3">
        <v>0.151</v>
      </c>
      <c r="K3">
        <f t="shared" ref="K3:K43" si="0">J3*100</f>
        <v>15.1</v>
      </c>
      <c r="L3" s="1">
        <f>K3-E3</f>
        <v>0.20000000000000107</v>
      </c>
      <c r="M3" s="1">
        <f>L3*L3</f>
        <v>4.0000000000000424E-2</v>
      </c>
      <c r="N3" s="1">
        <f>K3/E3-1</f>
        <v>1.3422818791946289E-2</v>
      </c>
      <c r="O3">
        <v>0.151</v>
      </c>
      <c r="Q3">
        <v>1</v>
      </c>
      <c r="R3">
        <v>3.677</v>
      </c>
      <c r="S3">
        <v>7.2720000000000002</v>
      </c>
      <c r="T3">
        <v>0.16300000000000001</v>
      </c>
      <c r="U3">
        <f t="shared" ref="U3:U43" si="1">T3*100</f>
        <v>16.3</v>
      </c>
      <c r="V3" s="1">
        <f>U3-E3</f>
        <v>1.4000000000000021</v>
      </c>
      <c r="W3" s="1">
        <f>V3*V3</f>
        <v>1.960000000000006</v>
      </c>
      <c r="X3" s="1">
        <f>U3/E3-1</f>
        <v>9.3959731543624248E-2</v>
      </c>
      <c r="Z3">
        <v>1</v>
      </c>
      <c r="AA3">
        <v>3.7109999999999999</v>
      </c>
      <c r="AB3">
        <v>7.2619999999999996</v>
      </c>
      <c r="AC3">
        <v>0.158</v>
      </c>
      <c r="AD3">
        <f t="shared" ref="AD3:AD21" si="2">AC3*100</f>
        <v>15.8</v>
      </c>
      <c r="AE3" s="1">
        <f>AD3-E3</f>
        <v>0.90000000000000213</v>
      </c>
      <c r="AF3" s="1">
        <f>AE3*AE3</f>
        <v>0.81000000000000383</v>
      </c>
      <c r="AG3" s="1">
        <f>AD3/E3-1</f>
        <v>6.0402684563758635E-2</v>
      </c>
      <c r="AI3">
        <v>1</v>
      </c>
      <c r="AJ3">
        <v>3.6360000000000001</v>
      </c>
      <c r="AK3">
        <v>7.2930000000000001</v>
      </c>
      <c r="AL3">
        <v>0.157</v>
      </c>
      <c r="AM3">
        <f t="shared" ref="AM3:AM43" si="3">AL3*100</f>
        <v>15.7</v>
      </c>
      <c r="AN3" s="1">
        <f>AM3-E3</f>
        <v>0.80000000000000071</v>
      </c>
      <c r="AO3" s="1">
        <f>AN3*AN3</f>
        <v>0.64000000000000112</v>
      </c>
      <c r="AP3" s="1">
        <f>AM3/E3-1</f>
        <v>5.3691275167785379E-2</v>
      </c>
      <c r="AR3">
        <v>1</v>
      </c>
      <c r="AS3">
        <v>3.6930000000000001</v>
      </c>
      <c r="AT3">
        <v>7.26</v>
      </c>
      <c r="AU3">
        <v>0.16</v>
      </c>
      <c r="AV3">
        <f t="shared" ref="AV3:AV43" si="4">AU3*100</f>
        <v>16</v>
      </c>
      <c r="AW3" s="1">
        <f>AV3-E3</f>
        <v>1.1000000000000014</v>
      </c>
      <c r="AX3" s="1">
        <f>AW3*AW3</f>
        <v>1.2100000000000031</v>
      </c>
      <c r="AY3" s="1">
        <f>AV3/E3-1</f>
        <v>7.3825503355704702E-2</v>
      </c>
      <c r="BA3">
        <v>1</v>
      </c>
      <c r="BB3">
        <v>3.746</v>
      </c>
      <c r="BC3">
        <v>7.24</v>
      </c>
      <c r="BD3">
        <v>0.156</v>
      </c>
      <c r="BE3">
        <f t="shared" ref="BE3:BE43" si="5">BD3*100</f>
        <v>15.6</v>
      </c>
      <c r="BF3" s="1">
        <f>BE3-E3</f>
        <v>0.70000000000000107</v>
      </c>
      <c r="BG3" s="1">
        <f>BF3*BF3</f>
        <v>0.49000000000000149</v>
      </c>
      <c r="BH3" s="1">
        <f>BE3/E3-1</f>
        <v>4.6979865771812124E-2</v>
      </c>
      <c r="BJ3">
        <v>1</v>
      </c>
      <c r="BK3">
        <v>3.6960000000000002</v>
      </c>
      <c r="BL3">
        <v>7.2720000000000002</v>
      </c>
      <c r="BM3">
        <v>0.157</v>
      </c>
      <c r="BN3">
        <f t="shared" ref="BN3:BN43" si="6">BM3*100</f>
        <v>15.7</v>
      </c>
      <c r="BO3" s="1">
        <f>BN3-E3</f>
        <v>0.80000000000000071</v>
      </c>
      <c r="BP3" s="1">
        <f>BO3*BO3</f>
        <v>0.64000000000000112</v>
      </c>
      <c r="BQ3" s="1">
        <f>BN3/E3-1</f>
        <v>5.3691275167785379E-2</v>
      </c>
      <c r="BS3">
        <v>1</v>
      </c>
      <c r="BT3">
        <v>3.5859999999999999</v>
      </c>
      <c r="BU3">
        <v>7.319</v>
      </c>
      <c r="BV3">
        <v>0.15</v>
      </c>
      <c r="BW3">
        <f t="shared" ref="BW3:BW43" si="7">BV3*100</f>
        <v>15</v>
      </c>
      <c r="BX3" s="1">
        <f>BW3-E3</f>
        <v>0.10000000000000142</v>
      </c>
      <c r="BY3" s="1">
        <f>BX3*BX3</f>
        <v>1.0000000000000285E-2</v>
      </c>
      <c r="BZ3" s="1">
        <f>BW3/E3-1</f>
        <v>6.7114093959732557E-3</v>
      </c>
      <c r="CB3">
        <v>1</v>
      </c>
      <c r="CC3">
        <v>3.7629999999999999</v>
      </c>
      <c r="CD3">
        <v>7.2329999999999997</v>
      </c>
      <c r="CE3">
        <v>0.14699999999999999</v>
      </c>
      <c r="CF3">
        <f t="shared" ref="CF3:CF43" si="8">CE3*100</f>
        <v>14.7</v>
      </c>
      <c r="CG3" s="1">
        <f>CF3-E3</f>
        <v>-0.19999999999999929</v>
      </c>
      <c r="CH3" s="1">
        <f>CG3*CG3</f>
        <v>3.9999999999999716E-2</v>
      </c>
      <c r="CI3" s="1">
        <f>CF3/E3-1</f>
        <v>-1.3422818791946289E-2</v>
      </c>
      <c r="CK3">
        <v>1</v>
      </c>
      <c r="CL3">
        <v>3.7029999999999998</v>
      </c>
      <c r="CM3">
        <v>7.2629999999999999</v>
      </c>
      <c r="CN3">
        <v>0.16</v>
      </c>
      <c r="CO3">
        <f t="shared" ref="CO3:CO43" si="9">CN3*100</f>
        <v>16</v>
      </c>
      <c r="CP3" s="1">
        <f>CO3-E3</f>
        <v>1.1000000000000014</v>
      </c>
      <c r="CQ3" s="1">
        <f>CP3*CP3</f>
        <v>1.2100000000000031</v>
      </c>
      <c r="CR3" s="1">
        <f>CO3/E3-1</f>
        <v>7.3825503355704702E-2</v>
      </c>
    </row>
    <row r="4" spans="1:96" x14ac:dyDescent="0.3">
      <c r="A4">
        <v>1.873</v>
      </c>
      <c r="B4">
        <v>3.1360000000000001</v>
      </c>
      <c r="C4">
        <v>2</v>
      </c>
      <c r="D4">
        <v>0.27500000000000002</v>
      </c>
      <c r="E4">
        <f t="shared" ref="E4:E43" si="10">D4*100</f>
        <v>27.500000000000004</v>
      </c>
      <c r="F4">
        <f t="shared" ref="F4:F43" si="11">D4+-0.02</f>
        <v>0.255</v>
      </c>
      <c r="G4">
        <v>2</v>
      </c>
      <c r="H4">
        <v>1.998</v>
      </c>
      <c r="I4">
        <v>3.1150000000000002</v>
      </c>
      <c r="J4">
        <v>0.29499999999999998</v>
      </c>
      <c r="K4">
        <f t="shared" si="0"/>
        <v>29.5</v>
      </c>
      <c r="L4" s="1">
        <f t="shared" ref="L4:L43" si="12">K4-E4</f>
        <v>1.9999999999999964</v>
      </c>
      <c r="M4" s="1">
        <f t="shared" ref="M4:M43" si="13">L4*L4</f>
        <v>3.9999999999999858</v>
      </c>
      <c r="N4" s="1">
        <f t="shared" ref="N4:N43" si="14">K4/E4-1</f>
        <v>7.2727272727272529E-2</v>
      </c>
      <c r="O4">
        <v>0.29499999999999998</v>
      </c>
      <c r="Q4">
        <v>2</v>
      </c>
      <c r="R4">
        <v>1.9370000000000001</v>
      </c>
      <c r="S4">
        <v>3.1219999999999999</v>
      </c>
      <c r="T4">
        <v>0.28000000000000003</v>
      </c>
      <c r="U4">
        <f t="shared" si="1"/>
        <v>28.000000000000004</v>
      </c>
      <c r="V4" s="1">
        <f t="shared" ref="V4:V43" si="15">U4-E4</f>
        <v>0.5</v>
      </c>
      <c r="W4" s="1">
        <f t="shared" ref="W4:W43" si="16">V4*V4</f>
        <v>0.25</v>
      </c>
      <c r="X4" s="1">
        <f t="shared" ref="X4:X43" si="17">U4/E4-1</f>
        <v>1.8181818181818077E-2</v>
      </c>
      <c r="Z4">
        <v>2</v>
      </c>
      <c r="AA4">
        <v>1.9339999999999999</v>
      </c>
      <c r="AB4">
        <v>3.1019999999999999</v>
      </c>
      <c r="AC4">
        <v>0.26</v>
      </c>
      <c r="AD4">
        <f t="shared" si="2"/>
        <v>26</v>
      </c>
      <c r="AE4" s="1">
        <f t="shared" ref="AE4:AE27" si="18">AD4-E4</f>
        <v>-1.5000000000000036</v>
      </c>
      <c r="AF4" s="1">
        <f t="shared" ref="AF4:AF27" si="19">AE4*AE4</f>
        <v>2.2500000000000107</v>
      </c>
      <c r="AG4" s="1">
        <f t="shared" ref="AG4:AG43" si="20">AD4/E4-1</f>
        <v>-5.4545454545454675E-2</v>
      </c>
      <c r="AI4">
        <v>2</v>
      </c>
      <c r="AJ4">
        <v>1.893</v>
      </c>
      <c r="AK4">
        <v>3.0939999999999999</v>
      </c>
      <c r="AL4">
        <v>0.26700000000000002</v>
      </c>
      <c r="AM4">
        <f t="shared" si="3"/>
        <v>26.700000000000003</v>
      </c>
      <c r="AN4" s="1">
        <f t="shared" ref="AN4:AN43" si="21">AM4-E4</f>
        <v>-0.80000000000000071</v>
      </c>
      <c r="AO4" s="1">
        <f t="shared" ref="AO4:AO43" si="22">AN4*AN4</f>
        <v>0.64000000000000112</v>
      </c>
      <c r="AP4" s="1">
        <f t="shared" ref="AP4:AP43" si="23">AM4/E4-1</f>
        <v>-2.9090909090909167E-2</v>
      </c>
      <c r="AR4">
        <v>2</v>
      </c>
      <c r="AS4">
        <v>1.9259999999999999</v>
      </c>
      <c r="AT4">
        <v>3.1040000000000001</v>
      </c>
      <c r="AU4">
        <v>0.27700000000000002</v>
      </c>
      <c r="AV4">
        <f t="shared" si="4"/>
        <v>27.700000000000003</v>
      </c>
      <c r="AW4" s="1">
        <f t="shared" ref="AW4:AW43" si="24">AV4-E4</f>
        <v>0.19999999999999929</v>
      </c>
      <c r="AX4" s="1">
        <f t="shared" ref="AX4:AX43" si="25">AW4*AW4</f>
        <v>3.9999999999999716E-2</v>
      </c>
      <c r="AY4" s="1">
        <f t="shared" ref="AY4:AY43" si="26">AV4/E4-1</f>
        <v>7.2727272727273196E-3</v>
      </c>
      <c r="BA4">
        <v>2</v>
      </c>
      <c r="BB4">
        <v>1.9419999999999999</v>
      </c>
      <c r="BC4">
        <v>3.0920000000000001</v>
      </c>
      <c r="BD4">
        <v>0.28000000000000003</v>
      </c>
      <c r="BE4">
        <f t="shared" si="5"/>
        <v>28.000000000000004</v>
      </c>
      <c r="BF4" s="1">
        <f t="shared" ref="BF4:BF43" si="27">BE4-E4</f>
        <v>0.5</v>
      </c>
      <c r="BG4" s="1">
        <f t="shared" ref="BG4:BG43" si="28">BF4*BF4</f>
        <v>0.25</v>
      </c>
      <c r="BH4" s="1">
        <f t="shared" ref="BH4:BH43" si="29">BE4/E4-1</f>
        <v>1.8181818181818077E-2</v>
      </c>
      <c r="BJ4">
        <v>2</v>
      </c>
      <c r="BK4">
        <v>1.956</v>
      </c>
      <c r="BL4">
        <v>3.113</v>
      </c>
      <c r="BM4">
        <v>0.28599999999999998</v>
      </c>
      <c r="BN4">
        <f t="shared" si="6"/>
        <v>28.599999999999998</v>
      </c>
      <c r="BO4" s="1">
        <f t="shared" ref="BO4:BO43" si="30">BN4-E4</f>
        <v>1.0999999999999943</v>
      </c>
      <c r="BP4" s="1">
        <f t="shared" ref="BP4:BP43" si="31">BO4*BO4</f>
        <v>1.2099999999999875</v>
      </c>
      <c r="BQ4" s="1">
        <f t="shared" ref="BQ4:BQ43" si="32">BN4/E4-1</f>
        <v>3.9999999999999813E-2</v>
      </c>
      <c r="BS4">
        <v>2</v>
      </c>
      <c r="BT4">
        <v>1.887</v>
      </c>
      <c r="BU4">
        <v>3.129</v>
      </c>
      <c r="BV4">
        <v>0.29399999999999998</v>
      </c>
      <c r="BW4">
        <f t="shared" si="7"/>
        <v>29.4</v>
      </c>
      <c r="BX4" s="1">
        <f t="shared" ref="BX4:BX43" si="33">BW4-E4</f>
        <v>1.899999999999995</v>
      </c>
      <c r="BY4" s="1">
        <f t="shared" ref="BY4:BY43" si="34">BX4*BX4</f>
        <v>3.6099999999999812</v>
      </c>
      <c r="BZ4" s="1">
        <f t="shared" ref="BZ4:BZ43" si="35">BW4/E4-1</f>
        <v>6.909090909090887E-2</v>
      </c>
      <c r="CB4">
        <v>2</v>
      </c>
      <c r="CC4">
        <v>1.958</v>
      </c>
      <c r="CD4">
        <v>3.08</v>
      </c>
      <c r="CE4">
        <v>0.29599999999999999</v>
      </c>
      <c r="CF4">
        <f t="shared" si="8"/>
        <v>29.599999999999998</v>
      </c>
      <c r="CG4" s="1">
        <f t="shared" ref="CG4:CG43" si="36">CF4-E4</f>
        <v>2.0999999999999943</v>
      </c>
      <c r="CH4" s="1">
        <f t="shared" ref="CH4:CH43" si="37">CG4*CG4</f>
        <v>4.4099999999999762</v>
      </c>
      <c r="CI4" s="1">
        <f t="shared" ref="CI4:CI43" si="38">CF4/E4-1</f>
        <v>7.6363636363636189E-2</v>
      </c>
      <c r="CK4">
        <v>2</v>
      </c>
      <c r="CL4">
        <v>1.998</v>
      </c>
      <c r="CM4">
        <v>3.1150000000000002</v>
      </c>
      <c r="CN4">
        <v>0.24199999999999999</v>
      </c>
      <c r="CO4">
        <f t="shared" si="9"/>
        <v>24.2</v>
      </c>
      <c r="CP4" s="1">
        <f t="shared" ref="CP4:CP43" si="39">CO4-E4</f>
        <v>-3.3000000000000043</v>
      </c>
      <c r="CQ4" s="1">
        <f t="shared" ref="CQ4:CQ43" si="40">CP4*CP4</f>
        <v>10.890000000000029</v>
      </c>
      <c r="CR4" s="1">
        <f t="shared" ref="CR4:CR43" si="41">CO4/E4-1</f>
        <v>-0.12000000000000011</v>
      </c>
    </row>
    <row r="5" spans="1:96" x14ac:dyDescent="0.3">
      <c r="A5">
        <v>1.9159999999999999</v>
      </c>
      <c r="B5">
        <v>5.3940000000000001</v>
      </c>
      <c r="C5">
        <v>3</v>
      </c>
      <c r="D5">
        <v>0.17399999999999999</v>
      </c>
      <c r="E5">
        <f t="shared" si="10"/>
        <v>17.399999999999999</v>
      </c>
      <c r="F5">
        <f t="shared" si="11"/>
        <v>0.154</v>
      </c>
      <c r="G5">
        <v>3</v>
      </c>
      <c r="H5">
        <v>2.0299999999999998</v>
      </c>
      <c r="I5">
        <v>5.3659999999999997</v>
      </c>
      <c r="J5">
        <v>0.184</v>
      </c>
      <c r="K5">
        <f t="shared" si="0"/>
        <v>18.399999999999999</v>
      </c>
      <c r="L5" s="1">
        <f t="shared" si="12"/>
        <v>1</v>
      </c>
      <c r="M5" s="1">
        <f t="shared" si="13"/>
        <v>1</v>
      </c>
      <c r="N5" s="1">
        <f t="shared" si="14"/>
        <v>5.7471264367816133E-2</v>
      </c>
      <c r="O5">
        <v>0.184</v>
      </c>
      <c r="Q5">
        <v>3</v>
      </c>
      <c r="R5">
        <v>1.9950000000000001</v>
      </c>
      <c r="S5">
        <v>5.3810000000000002</v>
      </c>
      <c r="T5">
        <v>0.17799999999999999</v>
      </c>
      <c r="U5">
        <f t="shared" si="1"/>
        <v>17.8</v>
      </c>
      <c r="V5" s="1">
        <f t="shared" si="15"/>
        <v>0.40000000000000213</v>
      </c>
      <c r="W5" s="1">
        <f t="shared" si="16"/>
        <v>0.1600000000000017</v>
      </c>
      <c r="X5" s="1">
        <f t="shared" si="17"/>
        <v>2.2988505747126631E-2</v>
      </c>
      <c r="Z5">
        <v>3</v>
      </c>
      <c r="AA5">
        <v>2.016</v>
      </c>
      <c r="AB5">
        <v>5.3680000000000003</v>
      </c>
      <c r="AC5">
        <v>0.17100000000000001</v>
      </c>
      <c r="AD5">
        <f t="shared" si="2"/>
        <v>17.100000000000001</v>
      </c>
      <c r="AE5" s="1">
        <f t="shared" si="18"/>
        <v>-0.29999999999999716</v>
      </c>
      <c r="AF5" s="1">
        <f t="shared" si="19"/>
        <v>8.999999999999829E-2</v>
      </c>
      <c r="AG5" s="1">
        <f t="shared" si="20"/>
        <v>-1.724137931034464E-2</v>
      </c>
      <c r="AI5">
        <v>3</v>
      </c>
      <c r="AJ5">
        <v>1.978</v>
      </c>
      <c r="AK5">
        <v>5.3789999999999996</v>
      </c>
      <c r="AL5">
        <v>0.16</v>
      </c>
      <c r="AM5">
        <f t="shared" si="3"/>
        <v>16</v>
      </c>
      <c r="AN5" s="1">
        <f t="shared" si="21"/>
        <v>-1.3999999999999986</v>
      </c>
      <c r="AO5" s="1">
        <f t="shared" si="22"/>
        <v>1.959999999999996</v>
      </c>
      <c r="AP5" s="1">
        <f t="shared" si="23"/>
        <v>-8.045977011494243E-2</v>
      </c>
      <c r="AR5">
        <v>3</v>
      </c>
      <c r="AS5">
        <v>2.0070000000000001</v>
      </c>
      <c r="AT5">
        <v>5.3550000000000004</v>
      </c>
      <c r="AU5">
        <v>0.16300000000000001</v>
      </c>
      <c r="AV5">
        <f t="shared" si="4"/>
        <v>16.3</v>
      </c>
      <c r="AW5" s="1">
        <f t="shared" si="24"/>
        <v>-1.0999999999999979</v>
      </c>
      <c r="AX5" s="1">
        <f t="shared" si="25"/>
        <v>1.2099999999999953</v>
      </c>
      <c r="AY5" s="1">
        <f t="shared" si="26"/>
        <v>-6.3218390804597568E-2</v>
      </c>
      <c r="BA5">
        <v>3</v>
      </c>
      <c r="BB5">
        <v>2.056</v>
      </c>
      <c r="BC5">
        <v>5.3440000000000003</v>
      </c>
      <c r="BD5">
        <v>0.17199999999999999</v>
      </c>
      <c r="BE5">
        <f t="shared" si="5"/>
        <v>17.2</v>
      </c>
      <c r="BF5" s="1">
        <f t="shared" si="27"/>
        <v>-0.19999999999999929</v>
      </c>
      <c r="BG5" s="1">
        <f t="shared" si="28"/>
        <v>3.9999999999999716E-2</v>
      </c>
      <c r="BH5" s="1">
        <f t="shared" si="29"/>
        <v>-1.1494252873563204E-2</v>
      </c>
      <c r="BJ5">
        <v>3</v>
      </c>
      <c r="BK5">
        <v>2.0230000000000001</v>
      </c>
      <c r="BL5">
        <v>5.3579999999999997</v>
      </c>
      <c r="BM5">
        <v>0.17399999999999999</v>
      </c>
      <c r="BN5">
        <f t="shared" si="6"/>
        <v>17.399999999999999</v>
      </c>
      <c r="BO5" s="1">
        <f t="shared" si="30"/>
        <v>0</v>
      </c>
      <c r="BP5" s="1">
        <f t="shared" si="31"/>
        <v>0</v>
      </c>
      <c r="BQ5" s="1">
        <f t="shared" si="32"/>
        <v>0</v>
      </c>
      <c r="BS5">
        <v>3</v>
      </c>
      <c r="BT5">
        <v>1.925</v>
      </c>
      <c r="BU5">
        <v>5.3970000000000002</v>
      </c>
      <c r="BV5">
        <v>0.16400000000000001</v>
      </c>
      <c r="BW5">
        <f t="shared" si="7"/>
        <v>16.400000000000002</v>
      </c>
      <c r="BX5" s="1">
        <f t="shared" si="33"/>
        <v>-0.99999999999999645</v>
      </c>
      <c r="BY5" s="1">
        <f t="shared" si="34"/>
        <v>0.99999999999999289</v>
      </c>
      <c r="BZ5" s="1">
        <f t="shared" si="35"/>
        <v>-5.7471264367815911E-2</v>
      </c>
      <c r="CB5">
        <v>3</v>
      </c>
      <c r="CC5">
        <v>2.0670000000000002</v>
      </c>
      <c r="CD5">
        <v>5.3319999999999999</v>
      </c>
      <c r="CE5">
        <v>0.15</v>
      </c>
      <c r="CF5">
        <f t="shared" si="8"/>
        <v>15</v>
      </c>
      <c r="CG5" s="1">
        <f t="shared" si="36"/>
        <v>-2.3999999999999986</v>
      </c>
      <c r="CH5" s="1">
        <f t="shared" si="37"/>
        <v>5.7599999999999936</v>
      </c>
      <c r="CI5" s="1">
        <f t="shared" si="38"/>
        <v>-0.13793103448275856</v>
      </c>
      <c r="CK5">
        <v>3</v>
      </c>
      <c r="CL5">
        <v>2.0299999999999998</v>
      </c>
      <c r="CM5">
        <v>5.3659999999999997</v>
      </c>
      <c r="CN5">
        <v>0.17899999999999999</v>
      </c>
      <c r="CO5">
        <f t="shared" si="9"/>
        <v>17.899999999999999</v>
      </c>
      <c r="CP5" s="1">
        <f t="shared" si="39"/>
        <v>0.5</v>
      </c>
      <c r="CQ5" s="1">
        <f t="shared" si="40"/>
        <v>0.25</v>
      </c>
      <c r="CR5" s="1">
        <f t="shared" si="41"/>
        <v>2.8735632183908066E-2</v>
      </c>
    </row>
    <row r="6" spans="1:96" x14ac:dyDescent="0.3">
      <c r="A6">
        <v>3.9430000000000001</v>
      </c>
      <c r="B6">
        <v>4.9089999999999998</v>
      </c>
      <c r="C6">
        <v>4</v>
      </c>
      <c r="D6">
        <v>0.29699999999999999</v>
      </c>
      <c r="E6">
        <f t="shared" si="10"/>
        <v>29.7</v>
      </c>
      <c r="F6">
        <f t="shared" si="11"/>
        <v>0.27699999999999997</v>
      </c>
      <c r="G6">
        <v>4</v>
      </c>
      <c r="H6">
        <v>4.032</v>
      </c>
      <c r="I6">
        <v>4.827</v>
      </c>
      <c r="J6">
        <v>0.29599999999999999</v>
      </c>
      <c r="K6">
        <f t="shared" si="0"/>
        <v>29.599999999999998</v>
      </c>
      <c r="L6" s="1">
        <f t="shared" si="12"/>
        <v>-0.10000000000000142</v>
      </c>
      <c r="M6" s="1">
        <f t="shared" si="13"/>
        <v>1.0000000000000285E-2</v>
      </c>
      <c r="N6" s="1">
        <f t="shared" si="14"/>
        <v>-3.3670033670034627E-3</v>
      </c>
      <c r="O6">
        <v>0.29599999999999999</v>
      </c>
      <c r="Q6">
        <v>4</v>
      </c>
      <c r="R6">
        <v>4.01</v>
      </c>
      <c r="S6">
        <v>4.8540000000000001</v>
      </c>
      <c r="T6">
        <v>0.32300000000000001</v>
      </c>
      <c r="U6">
        <f t="shared" si="1"/>
        <v>32.300000000000004</v>
      </c>
      <c r="V6" s="1">
        <f t="shared" si="15"/>
        <v>2.600000000000005</v>
      </c>
      <c r="W6" s="1">
        <f t="shared" si="16"/>
        <v>6.7600000000000255</v>
      </c>
      <c r="X6" s="1">
        <f t="shared" si="17"/>
        <v>8.754208754208781E-2</v>
      </c>
      <c r="Z6">
        <v>4</v>
      </c>
      <c r="AA6">
        <v>4.0430000000000001</v>
      </c>
      <c r="AB6">
        <v>4.8460000000000001</v>
      </c>
      <c r="AC6">
        <v>0.29099999999999998</v>
      </c>
      <c r="AD6">
        <f t="shared" si="2"/>
        <v>29.099999999999998</v>
      </c>
      <c r="AE6" s="1">
        <f t="shared" si="18"/>
        <v>-0.60000000000000142</v>
      </c>
      <c r="AF6" s="1">
        <f t="shared" si="19"/>
        <v>0.36000000000000171</v>
      </c>
      <c r="AG6" s="1">
        <f t="shared" si="20"/>
        <v>-2.0202020202020221E-2</v>
      </c>
      <c r="AI6">
        <v>4</v>
      </c>
      <c r="AJ6">
        <v>3.9750000000000001</v>
      </c>
      <c r="AK6">
        <v>4.87</v>
      </c>
      <c r="AL6">
        <v>0.314</v>
      </c>
      <c r="AM6">
        <f t="shared" si="3"/>
        <v>31.4</v>
      </c>
      <c r="AN6" s="1">
        <f t="shared" si="21"/>
        <v>1.6999999999999993</v>
      </c>
      <c r="AO6" s="1">
        <f t="shared" si="22"/>
        <v>2.8899999999999975</v>
      </c>
      <c r="AP6" s="1">
        <f t="shared" si="23"/>
        <v>5.7239057239057312E-2</v>
      </c>
      <c r="AR6">
        <v>4</v>
      </c>
      <c r="AS6">
        <v>4.0279999999999996</v>
      </c>
      <c r="AT6">
        <v>4.8419999999999996</v>
      </c>
      <c r="AU6">
        <v>0.29499999999999998</v>
      </c>
      <c r="AV6">
        <f t="shared" si="4"/>
        <v>29.5</v>
      </c>
      <c r="AW6" s="1">
        <f t="shared" si="24"/>
        <v>-0.19999999999999929</v>
      </c>
      <c r="AX6" s="1">
        <f t="shared" si="25"/>
        <v>3.9999999999999716E-2</v>
      </c>
      <c r="AY6" s="1">
        <f t="shared" si="26"/>
        <v>-6.7340067340067034E-3</v>
      </c>
      <c r="BA6">
        <v>4</v>
      </c>
      <c r="BB6">
        <v>4.0579999999999998</v>
      </c>
      <c r="BC6">
        <v>4.8220000000000001</v>
      </c>
      <c r="BD6">
        <v>0.314</v>
      </c>
      <c r="BE6">
        <f t="shared" si="5"/>
        <v>31.4</v>
      </c>
      <c r="BF6" s="1">
        <f t="shared" si="27"/>
        <v>1.6999999999999993</v>
      </c>
      <c r="BG6" s="1">
        <f t="shared" si="28"/>
        <v>2.8899999999999975</v>
      </c>
      <c r="BH6" s="1">
        <f t="shared" si="29"/>
        <v>5.7239057239057312E-2</v>
      </c>
      <c r="BJ6">
        <v>4</v>
      </c>
      <c r="BK6">
        <v>4.0270000000000001</v>
      </c>
      <c r="BL6">
        <v>4.8540000000000001</v>
      </c>
      <c r="BM6">
        <v>0.318</v>
      </c>
      <c r="BN6">
        <f t="shared" si="6"/>
        <v>31.8</v>
      </c>
      <c r="BO6" s="1">
        <f t="shared" si="30"/>
        <v>2.1000000000000014</v>
      </c>
      <c r="BP6" s="1">
        <f t="shared" si="31"/>
        <v>4.4100000000000064</v>
      </c>
      <c r="BQ6" s="1">
        <f t="shared" si="32"/>
        <v>7.0707070707070718E-2</v>
      </c>
      <c r="BS6">
        <v>4</v>
      </c>
      <c r="BT6">
        <v>3.9380000000000002</v>
      </c>
      <c r="BU6">
        <v>4.9210000000000003</v>
      </c>
      <c r="BV6">
        <v>0.29699999999999999</v>
      </c>
      <c r="BW6">
        <f t="shared" si="7"/>
        <v>29.7</v>
      </c>
      <c r="BX6" s="1">
        <f t="shared" si="33"/>
        <v>0</v>
      </c>
      <c r="BY6" s="1">
        <f t="shared" si="34"/>
        <v>0</v>
      </c>
      <c r="BZ6" s="1">
        <f t="shared" si="35"/>
        <v>0</v>
      </c>
      <c r="CB6">
        <v>4</v>
      </c>
      <c r="CC6">
        <v>4.0830000000000002</v>
      </c>
      <c r="CD6">
        <v>4.7919999999999998</v>
      </c>
      <c r="CE6">
        <v>0.252</v>
      </c>
      <c r="CF6">
        <f t="shared" si="8"/>
        <v>25.2</v>
      </c>
      <c r="CG6" s="1">
        <f t="shared" si="36"/>
        <v>-4.5</v>
      </c>
      <c r="CH6" s="1">
        <f t="shared" si="37"/>
        <v>20.25</v>
      </c>
      <c r="CI6" s="1">
        <f t="shared" si="38"/>
        <v>-0.15151515151515149</v>
      </c>
      <c r="CK6">
        <v>4</v>
      </c>
      <c r="CL6">
        <v>4.032</v>
      </c>
      <c r="CM6">
        <v>4.827</v>
      </c>
      <c r="CN6">
        <v>0.32800000000000001</v>
      </c>
      <c r="CO6">
        <f t="shared" si="9"/>
        <v>32.800000000000004</v>
      </c>
      <c r="CP6" s="1">
        <f t="shared" si="39"/>
        <v>3.100000000000005</v>
      </c>
      <c r="CQ6" s="1">
        <f t="shared" si="40"/>
        <v>9.6100000000000314</v>
      </c>
      <c r="CR6" s="1">
        <f t="shared" si="41"/>
        <v>0.10437710437710446</v>
      </c>
    </row>
    <row r="7" spans="1:96" x14ac:dyDescent="0.3">
      <c r="A7">
        <v>1.7829999999999999</v>
      </c>
      <c r="B7">
        <v>7.1710000000000003</v>
      </c>
      <c r="C7">
        <v>5</v>
      </c>
      <c r="D7">
        <v>0.36299999999999999</v>
      </c>
      <c r="E7">
        <f t="shared" si="10"/>
        <v>36.299999999999997</v>
      </c>
      <c r="F7">
        <f t="shared" si="11"/>
        <v>0.34299999999999997</v>
      </c>
      <c r="G7">
        <v>5</v>
      </c>
      <c r="H7">
        <v>1.9650000000000001</v>
      </c>
      <c r="I7">
        <v>7.1390000000000002</v>
      </c>
      <c r="J7">
        <v>0.34599999999999997</v>
      </c>
      <c r="K7">
        <f t="shared" si="0"/>
        <v>34.599999999999994</v>
      </c>
      <c r="L7" s="1">
        <f t="shared" si="12"/>
        <v>-1.7000000000000028</v>
      </c>
      <c r="M7" s="1">
        <f t="shared" si="13"/>
        <v>2.8900000000000095</v>
      </c>
      <c r="N7" s="1">
        <f t="shared" si="14"/>
        <v>-4.6831955922865043E-2</v>
      </c>
      <c r="O7">
        <v>0.34599999999999997</v>
      </c>
      <c r="Q7">
        <v>5</v>
      </c>
      <c r="R7">
        <v>1.903</v>
      </c>
      <c r="S7">
        <v>7.141</v>
      </c>
      <c r="T7">
        <v>0.35199999999999998</v>
      </c>
      <c r="U7">
        <f t="shared" si="1"/>
        <v>35.199999999999996</v>
      </c>
      <c r="V7" s="1">
        <f t="shared" si="15"/>
        <v>-1.1000000000000014</v>
      </c>
      <c r="W7" s="1">
        <f t="shared" si="16"/>
        <v>1.2100000000000031</v>
      </c>
      <c r="X7" s="1">
        <f t="shared" si="17"/>
        <v>-3.0303030303030387E-2</v>
      </c>
      <c r="Z7">
        <v>5</v>
      </c>
      <c r="AA7">
        <v>1.923</v>
      </c>
      <c r="AB7">
        <v>7.133</v>
      </c>
      <c r="AC7">
        <v>0.374</v>
      </c>
      <c r="AD7">
        <f t="shared" si="2"/>
        <v>37.4</v>
      </c>
      <c r="AE7" s="1">
        <f t="shared" si="18"/>
        <v>1.1000000000000014</v>
      </c>
      <c r="AF7" s="1">
        <f t="shared" si="19"/>
        <v>1.2100000000000031</v>
      </c>
      <c r="AG7" s="1">
        <f t="shared" si="20"/>
        <v>3.0303030303030276E-2</v>
      </c>
      <c r="AI7">
        <v>5</v>
      </c>
      <c r="AJ7">
        <v>1.851</v>
      </c>
      <c r="AK7">
        <v>7.1520000000000001</v>
      </c>
      <c r="AL7">
        <v>0.35799999999999998</v>
      </c>
      <c r="AM7">
        <f t="shared" si="3"/>
        <v>35.799999999999997</v>
      </c>
      <c r="AN7" s="1">
        <f t="shared" si="21"/>
        <v>-0.5</v>
      </c>
      <c r="AO7" s="1">
        <f t="shared" si="22"/>
        <v>0.25</v>
      </c>
      <c r="AP7" s="1">
        <f t="shared" si="23"/>
        <v>-1.377410468319562E-2</v>
      </c>
      <c r="AR7">
        <v>5</v>
      </c>
      <c r="AS7">
        <v>1.909</v>
      </c>
      <c r="AT7">
        <v>7.1310000000000002</v>
      </c>
      <c r="AU7">
        <v>0.372</v>
      </c>
      <c r="AV7">
        <f t="shared" si="4"/>
        <v>37.200000000000003</v>
      </c>
      <c r="AW7" s="1">
        <f t="shared" si="24"/>
        <v>0.90000000000000568</v>
      </c>
      <c r="AX7" s="1">
        <f t="shared" si="25"/>
        <v>0.81000000000001027</v>
      </c>
      <c r="AY7" s="1">
        <f t="shared" si="26"/>
        <v>2.4793388429752206E-2</v>
      </c>
      <c r="BA7">
        <v>5</v>
      </c>
      <c r="BB7">
        <v>1.962</v>
      </c>
      <c r="BC7">
        <v>7.1260000000000003</v>
      </c>
      <c r="BD7">
        <v>0.374</v>
      </c>
      <c r="BE7">
        <f t="shared" si="5"/>
        <v>37.4</v>
      </c>
      <c r="BF7" s="1">
        <f t="shared" si="27"/>
        <v>1.1000000000000014</v>
      </c>
      <c r="BG7" s="1">
        <f t="shared" si="28"/>
        <v>1.2100000000000031</v>
      </c>
      <c r="BH7" s="1">
        <f t="shared" si="29"/>
        <v>3.0303030303030276E-2</v>
      </c>
      <c r="BJ7">
        <v>5</v>
      </c>
      <c r="BK7">
        <v>1.925</v>
      </c>
      <c r="BL7">
        <v>7.1319999999999997</v>
      </c>
      <c r="BM7">
        <v>0.36</v>
      </c>
      <c r="BN7">
        <f t="shared" si="6"/>
        <v>36</v>
      </c>
      <c r="BO7" s="1">
        <f t="shared" si="30"/>
        <v>-0.29999999999999716</v>
      </c>
      <c r="BP7" s="1">
        <f t="shared" si="31"/>
        <v>8.999999999999829E-2</v>
      </c>
      <c r="BQ7" s="1">
        <f t="shared" si="32"/>
        <v>-8.2644628099173278E-3</v>
      </c>
      <c r="BS7">
        <v>5</v>
      </c>
      <c r="BT7">
        <v>1.792</v>
      </c>
      <c r="BU7">
        <v>7.141</v>
      </c>
      <c r="BV7">
        <v>0.35699999999999998</v>
      </c>
      <c r="BW7">
        <f t="shared" si="7"/>
        <v>35.699999999999996</v>
      </c>
      <c r="BX7" s="1">
        <f t="shared" si="33"/>
        <v>-0.60000000000000142</v>
      </c>
      <c r="BY7" s="1">
        <f t="shared" si="34"/>
        <v>0.36000000000000171</v>
      </c>
      <c r="BZ7" s="1">
        <f t="shared" si="35"/>
        <v>-1.6528925619834767E-2</v>
      </c>
      <c r="CB7">
        <v>5</v>
      </c>
      <c r="CC7">
        <v>1.9810000000000001</v>
      </c>
      <c r="CD7">
        <v>7.1139999999999999</v>
      </c>
      <c r="CE7">
        <v>0.40200000000000002</v>
      </c>
      <c r="CF7">
        <f t="shared" si="8"/>
        <v>40.200000000000003</v>
      </c>
      <c r="CG7" s="1">
        <f t="shared" si="36"/>
        <v>3.9000000000000057</v>
      </c>
      <c r="CH7" s="1">
        <f t="shared" si="37"/>
        <v>15.210000000000043</v>
      </c>
      <c r="CI7" s="1">
        <f t="shared" si="38"/>
        <v>0.10743801652892571</v>
      </c>
      <c r="CK7">
        <v>5</v>
      </c>
      <c r="CL7">
        <v>1.9650000000000001</v>
      </c>
      <c r="CM7">
        <v>7.1390000000000002</v>
      </c>
      <c r="CN7">
        <v>0.32400000000000001</v>
      </c>
      <c r="CO7">
        <f t="shared" si="9"/>
        <v>32.4</v>
      </c>
      <c r="CP7" s="1">
        <f t="shared" si="39"/>
        <v>-3.8999999999999986</v>
      </c>
      <c r="CQ7" s="1">
        <f t="shared" si="40"/>
        <v>15.209999999999988</v>
      </c>
      <c r="CR7" s="1">
        <f t="shared" si="41"/>
        <v>-0.1074380165289256</v>
      </c>
    </row>
    <row r="8" spans="1:96" x14ac:dyDescent="0.3">
      <c r="A8">
        <v>5.6120000000000001</v>
      </c>
      <c r="B8">
        <v>3.0059999999999998</v>
      </c>
      <c r="C8">
        <v>6</v>
      </c>
      <c r="D8">
        <v>6.9000000000000006E-2</v>
      </c>
      <c r="E8">
        <f t="shared" si="10"/>
        <v>6.9</v>
      </c>
      <c r="F8">
        <f t="shared" si="11"/>
        <v>4.9000000000000002E-2</v>
      </c>
      <c r="G8">
        <v>6</v>
      </c>
      <c r="H8">
        <v>5.5759999999999996</v>
      </c>
      <c r="I8">
        <v>2.9180000000000001</v>
      </c>
      <c r="J8">
        <v>6.2E-2</v>
      </c>
      <c r="K8">
        <f t="shared" si="0"/>
        <v>6.2</v>
      </c>
      <c r="L8" s="1">
        <f t="shared" si="12"/>
        <v>-0.70000000000000018</v>
      </c>
      <c r="M8" s="1">
        <f t="shared" si="13"/>
        <v>0.49000000000000027</v>
      </c>
      <c r="N8" s="1">
        <f t="shared" si="14"/>
        <v>-0.10144927536231885</v>
      </c>
      <c r="O8">
        <v>6.2E-2</v>
      </c>
      <c r="Q8">
        <v>6</v>
      </c>
      <c r="R8">
        <v>5.6859999999999999</v>
      </c>
      <c r="S8">
        <v>2.9180000000000001</v>
      </c>
      <c r="T8">
        <v>6.2E-2</v>
      </c>
      <c r="U8">
        <f t="shared" si="1"/>
        <v>6.2</v>
      </c>
      <c r="V8" s="1">
        <f t="shared" si="15"/>
        <v>-0.70000000000000018</v>
      </c>
      <c r="W8" s="1">
        <f t="shared" si="16"/>
        <v>0.49000000000000027</v>
      </c>
      <c r="X8" s="1">
        <f t="shared" si="17"/>
        <v>-0.10144927536231885</v>
      </c>
      <c r="Z8">
        <v>6</v>
      </c>
      <c r="AA8">
        <v>5.6559999999999997</v>
      </c>
      <c r="AB8">
        <v>2.9180000000000001</v>
      </c>
      <c r="AC8">
        <v>6.1199999999999997E-2</v>
      </c>
      <c r="AD8">
        <f t="shared" si="2"/>
        <v>6.12</v>
      </c>
      <c r="AE8" s="1">
        <f t="shared" si="18"/>
        <v>-0.78000000000000025</v>
      </c>
      <c r="AF8" s="1">
        <f t="shared" si="19"/>
        <v>0.60840000000000038</v>
      </c>
      <c r="AG8" s="1">
        <f t="shared" si="20"/>
        <v>-0.11304347826086958</v>
      </c>
      <c r="AI8">
        <v>6</v>
      </c>
      <c r="AJ8">
        <v>5.6950000000000003</v>
      </c>
      <c r="AK8">
        <v>2.9380000000000002</v>
      </c>
      <c r="AL8">
        <v>7.6999999999999999E-2</v>
      </c>
      <c r="AM8">
        <f t="shared" si="3"/>
        <v>7.7</v>
      </c>
      <c r="AN8" s="1">
        <f t="shared" si="21"/>
        <v>0.79999999999999982</v>
      </c>
      <c r="AO8" s="1">
        <f t="shared" si="22"/>
        <v>0.63999999999999968</v>
      </c>
      <c r="AP8" s="1">
        <f t="shared" si="23"/>
        <v>0.11594202898550732</v>
      </c>
      <c r="AR8">
        <v>6</v>
      </c>
      <c r="AS8">
        <v>0</v>
      </c>
      <c r="AT8">
        <v>0</v>
      </c>
      <c r="AU8">
        <v>0</v>
      </c>
      <c r="AV8">
        <f t="shared" si="4"/>
        <v>0</v>
      </c>
      <c r="AW8" s="1">
        <f t="shared" si="24"/>
        <v>-6.9</v>
      </c>
      <c r="AX8" s="1">
        <f t="shared" si="25"/>
        <v>47.610000000000007</v>
      </c>
      <c r="AY8" s="1">
        <f t="shared" si="26"/>
        <v>-1</v>
      </c>
      <c r="BA8">
        <v>6</v>
      </c>
      <c r="BB8">
        <v>5.718</v>
      </c>
      <c r="BC8">
        <v>2.86</v>
      </c>
      <c r="BD8">
        <v>0.06</v>
      </c>
      <c r="BE8">
        <f t="shared" si="5"/>
        <v>6</v>
      </c>
      <c r="BF8" s="1">
        <f t="shared" si="27"/>
        <v>-0.90000000000000036</v>
      </c>
      <c r="BG8" s="1">
        <f t="shared" si="28"/>
        <v>0.81000000000000061</v>
      </c>
      <c r="BH8" s="1">
        <f t="shared" si="29"/>
        <v>-0.13043478260869568</v>
      </c>
      <c r="BJ8">
        <v>6</v>
      </c>
      <c r="BK8">
        <v>0</v>
      </c>
      <c r="BL8">
        <v>0</v>
      </c>
      <c r="BM8">
        <v>0</v>
      </c>
      <c r="BN8">
        <f t="shared" si="6"/>
        <v>0</v>
      </c>
      <c r="BO8" s="1">
        <f t="shared" si="30"/>
        <v>-6.9</v>
      </c>
      <c r="BP8" s="1">
        <f t="shared" si="31"/>
        <v>47.610000000000007</v>
      </c>
      <c r="BQ8" s="1">
        <f t="shared" si="32"/>
        <v>-1</v>
      </c>
      <c r="BS8">
        <v>6</v>
      </c>
      <c r="BT8">
        <v>5.6840000000000002</v>
      </c>
      <c r="BU8">
        <v>2.9630000000000001</v>
      </c>
      <c r="BV8">
        <v>0.09</v>
      </c>
      <c r="BW8">
        <f t="shared" si="7"/>
        <v>9</v>
      </c>
      <c r="BX8" s="1">
        <f t="shared" si="33"/>
        <v>2.0999999999999996</v>
      </c>
      <c r="BY8" s="1">
        <f t="shared" si="34"/>
        <v>4.4099999999999984</v>
      </c>
      <c r="BZ8" s="1">
        <f t="shared" si="35"/>
        <v>0.30434782608695654</v>
      </c>
      <c r="CB8">
        <v>6</v>
      </c>
      <c r="CC8">
        <v>5.7370000000000001</v>
      </c>
      <c r="CD8">
        <v>2.8690000000000002</v>
      </c>
      <c r="CE8">
        <v>0.112</v>
      </c>
      <c r="CF8">
        <f t="shared" si="8"/>
        <v>11.200000000000001</v>
      </c>
      <c r="CG8" s="1">
        <f t="shared" si="36"/>
        <v>4.3000000000000007</v>
      </c>
      <c r="CH8" s="1">
        <f t="shared" si="37"/>
        <v>18.490000000000006</v>
      </c>
      <c r="CI8" s="1">
        <f t="shared" si="38"/>
        <v>0.62318840579710155</v>
      </c>
      <c r="CK8">
        <v>6</v>
      </c>
      <c r="CL8">
        <v>5.7439999999999998</v>
      </c>
      <c r="CM8">
        <v>2.798</v>
      </c>
      <c r="CN8">
        <v>0.11600000000000001</v>
      </c>
      <c r="CO8">
        <f t="shared" si="9"/>
        <v>11.600000000000001</v>
      </c>
      <c r="CP8" s="1">
        <f t="shared" si="39"/>
        <v>4.7000000000000011</v>
      </c>
      <c r="CQ8" s="1">
        <f t="shared" si="40"/>
        <v>22.090000000000011</v>
      </c>
      <c r="CR8" s="1">
        <f t="shared" si="41"/>
        <v>0.68115942028985521</v>
      </c>
    </row>
    <row r="9" spans="1:96" x14ac:dyDescent="0.3">
      <c r="A9">
        <v>7.6790000000000003</v>
      </c>
      <c r="B9">
        <v>2.6269999999999998</v>
      </c>
      <c r="C9">
        <v>7</v>
      </c>
      <c r="D9">
        <v>0.31900000000000001</v>
      </c>
      <c r="E9">
        <f t="shared" si="10"/>
        <v>31.900000000000002</v>
      </c>
      <c r="F9">
        <f t="shared" si="11"/>
        <v>0.29899999999999999</v>
      </c>
      <c r="G9">
        <v>7</v>
      </c>
      <c r="H9">
        <v>7.7619999999999996</v>
      </c>
      <c r="I9">
        <v>2.476</v>
      </c>
      <c r="J9">
        <v>0.32100000000000001</v>
      </c>
      <c r="K9">
        <f t="shared" si="0"/>
        <v>32.1</v>
      </c>
      <c r="L9" s="1">
        <f t="shared" si="12"/>
        <v>0.19999999999999929</v>
      </c>
      <c r="M9" s="1">
        <f t="shared" si="13"/>
        <v>3.9999999999999716E-2</v>
      </c>
      <c r="N9" s="1">
        <f t="shared" si="14"/>
        <v>6.2695924764890609E-3</v>
      </c>
      <c r="O9">
        <v>0.32100000000000001</v>
      </c>
      <c r="Q9">
        <v>7</v>
      </c>
      <c r="R9">
        <v>7.7169999999999996</v>
      </c>
      <c r="S9">
        <v>2.5179999999999998</v>
      </c>
      <c r="T9">
        <v>0.32</v>
      </c>
      <c r="U9">
        <f t="shared" si="1"/>
        <v>32</v>
      </c>
      <c r="V9" s="1">
        <f t="shared" si="15"/>
        <v>9.9999999999997868E-2</v>
      </c>
      <c r="W9" s="1">
        <f t="shared" si="16"/>
        <v>9.9999999999995735E-3</v>
      </c>
      <c r="X9" s="1">
        <f t="shared" si="17"/>
        <v>3.1347962382444194E-3</v>
      </c>
      <c r="Z9">
        <v>7</v>
      </c>
      <c r="AA9">
        <v>7.7309999999999999</v>
      </c>
      <c r="AB9">
        <v>2.488</v>
      </c>
      <c r="AC9">
        <v>0.33600000000000002</v>
      </c>
      <c r="AD9">
        <f t="shared" si="2"/>
        <v>33.6</v>
      </c>
      <c r="AE9" s="1">
        <f t="shared" si="18"/>
        <v>1.6999999999999993</v>
      </c>
      <c r="AF9" s="1">
        <f t="shared" si="19"/>
        <v>2.8899999999999975</v>
      </c>
      <c r="AG9" s="1">
        <f t="shared" si="20"/>
        <v>5.3291536050156685E-2</v>
      </c>
      <c r="AI9">
        <v>7</v>
      </c>
      <c r="AJ9">
        <v>7.7060000000000004</v>
      </c>
      <c r="AK9">
        <v>2.552</v>
      </c>
      <c r="AL9">
        <v>0.32100000000000001</v>
      </c>
      <c r="AM9">
        <f t="shared" si="3"/>
        <v>32.1</v>
      </c>
      <c r="AN9" s="1">
        <f t="shared" si="21"/>
        <v>0.19999999999999929</v>
      </c>
      <c r="AO9" s="1">
        <f t="shared" si="22"/>
        <v>3.9999999999999716E-2</v>
      </c>
      <c r="AP9" s="1">
        <f t="shared" si="23"/>
        <v>6.2695924764890609E-3</v>
      </c>
      <c r="AR9">
        <v>7</v>
      </c>
      <c r="AS9">
        <v>7.7240000000000002</v>
      </c>
      <c r="AT9">
        <v>2.4990000000000001</v>
      </c>
      <c r="AU9">
        <v>0.32300000000000001</v>
      </c>
      <c r="AV9">
        <f t="shared" si="4"/>
        <v>32.300000000000004</v>
      </c>
      <c r="AW9" s="1">
        <f t="shared" si="24"/>
        <v>0.40000000000000213</v>
      </c>
      <c r="AX9" s="1">
        <f t="shared" si="25"/>
        <v>0.1600000000000017</v>
      </c>
      <c r="AY9" s="1">
        <f t="shared" si="26"/>
        <v>1.2539184952978122E-2</v>
      </c>
      <c r="BA9">
        <v>7</v>
      </c>
      <c r="BB9">
        <v>7.7370000000000001</v>
      </c>
      <c r="BC9">
        <v>2.4430000000000001</v>
      </c>
      <c r="BD9">
        <v>0.33200000000000002</v>
      </c>
      <c r="BE9">
        <f t="shared" si="5"/>
        <v>33.200000000000003</v>
      </c>
      <c r="BF9" s="1">
        <f t="shared" si="27"/>
        <v>1.3000000000000007</v>
      </c>
      <c r="BG9" s="1">
        <f t="shared" si="28"/>
        <v>1.6900000000000019</v>
      </c>
      <c r="BH9" s="1">
        <f t="shared" si="29"/>
        <v>4.0752351097178785E-2</v>
      </c>
      <c r="BJ9">
        <v>7</v>
      </c>
      <c r="BK9">
        <v>7.7439999999999998</v>
      </c>
      <c r="BL9">
        <v>2.4900000000000002</v>
      </c>
      <c r="BM9">
        <v>0.33500000000000002</v>
      </c>
      <c r="BN9">
        <f t="shared" si="6"/>
        <v>33.5</v>
      </c>
      <c r="BO9" s="1">
        <f t="shared" si="30"/>
        <v>1.5999999999999979</v>
      </c>
      <c r="BP9" s="1">
        <f t="shared" si="31"/>
        <v>2.5599999999999934</v>
      </c>
      <c r="BQ9" s="1">
        <f t="shared" si="32"/>
        <v>5.0156739811912265E-2</v>
      </c>
      <c r="BS9">
        <v>7</v>
      </c>
      <c r="BT9">
        <v>7.68</v>
      </c>
      <c r="BU9">
        <v>2.6720000000000002</v>
      </c>
      <c r="BV9">
        <v>0.32900000000000001</v>
      </c>
      <c r="BW9">
        <f t="shared" si="7"/>
        <v>32.9</v>
      </c>
      <c r="BX9" s="1">
        <f t="shared" si="33"/>
        <v>0.99999999999999645</v>
      </c>
      <c r="BY9" s="1">
        <f t="shared" si="34"/>
        <v>0.99999999999999289</v>
      </c>
      <c r="BZ9" s="1">
        <f t="shared" si="35"/>
        <v>3.1347962382445083E-2</v>
      </c>
      <c r="CB9">
        <v>7</v>
      </c>
      <c r="CC9">
        <v>7.7460000000000004</v>
      </c>
      <c r="CD9">
        <v>2.4209999999999998</v>
      </c>
      <c r="CE9">
        <v>0.22600000000000001</v>
      </c>
      <c r="CF9">
        <f t="shared" si="8"/>
        <v>22.6</v>
      </c>
      <c r="CG9" s="1">
        <f t="shared" si="36"/>
        <v>-9.3000000000000007</v>
      </c>
      <c r="CH9" s="1">
        <f t="shared" si="37"/>
        <v>86.490000000000009</v>
      </c>
      <c r="CI9" s="1">
        <f t="shared" si="38"/>
        <v>-0.29153605015673978</v>
      </c>
      <c r="CK9">
        <v>7</v>
      </c>
      <c r="CL9">
        <v>7.7619999999999996</v>
      </c>
      <c r="CM9">
        <v>2.476</v>
      </c>
      <c r="CN9">
        <v>0.35699999999999998</v>
      </c>
      <c r="CO9">
        <f t="shared" si="9"/>
        <v>35.699999999999996</v>
      </c>
      <c r="CP9" s="1">
        <f t="shared" si="39"/>
        <v>3.7999999999999936</v>
      </c>
      <c r="CQ9" s="1">
        <f t="shared" si="40"/>
        <v>14.439999999999952</v>
      </c>
      <c r="CR9" s="1">
        <f t="shared" si="41"/>
        <v>0.11912225705329127</v>
      </c>
    </row>
    <row r="10" spans="1:96" x14ac:dyDescent="0.3">
      <c r="A10">
        <v>9.8629999999999995</v>
      </c>
      <c r="B10">
        <v>2.6360000000000001</v>
      </c>
      <c r="C10">
        <v>8</v>
      </c>
      <c r="D10">
        <v>0.182</v>
      </c>
      <c r="E10">
        <f t="shared" si="10"/>
        <v>18.2</v>
      </c>
      <c r="F10">
        <f t="shared" si="11"/>
        <v>0.16200000000000001</v>
      </c>
      <c r="G10">
        <v>8</v>
      </c>
      <c r="H10">
        <v>9.9309999999999992</v>
      </c>
      <c r="I10">
        <v>2.4790000000000001</v>
      </c>
      <c r="J10">
        <v>0.17899999999999999</v>
      </c>
      <c r="K10">
        <f t="shared" si="0"/>
        <v>17.899999999999999</v>
      </c>
      <c r="L10" s="1">
        <f t="shared" si="12"/>
        <v>-0.30000000000000071</v>
      </c>
      <c r="M10" s="1">
        <f t="shared" si="13"/>
        <v>9.0000000000000427E-2</v>
      </c>
      <c r="N10" s="1">
        <f t="shared" si="14"/>
        <v>-1.6483516483516536E-2</v>
      </c>
      <c r="O10">
        <v>0.17899999999999999</v>
      </c>
      <c r="Q10">
        <v>8</v>
      </c>
      <c r="R10">
        <v>9.9</v>
      </c>
      <c r="S10">
        <v>2.5030000000000001</v>
      </c>
      <c r="T10">
        <v>0.17100000000000001</v>
      </c>
      <c r="U10">
        <f t="shared" si="1"/>
        <v>17.100000000000001</v>
      </c>
      <c r="V10" s="1">
        <f t="shared" si="15"/>
        <v>-1.0999999999999979</v>
      </c>
      <c r="W10" s="1">
        <f t="shared" si="16"/>
        <v>1.2099999999999953</v>
      </c>
      <c r="X10" s="1">
        <f t="shared" si="17"/>
        <v>-6.0439560439560336E-2</v>
      </c>
      <c r="Z10">
        <v>8</v>
      </c>
      <c r="AA10">
        <v>9.9090000000000007</v>
      </c>
      <c r="AB10">
        <v>2.468</v>
      </c>
      <c r="AC10">
        <v>0.155</v>
      </c>
      <c r="AD10">
        <f t="shared" si="2"/>
        <v>15.5</v>
      </c>
      <c r="AE10" s="1">
        <f t="shared" si="18"/>
        <v>-2.6999999999999993</v>
      </c>
      <c r="AF10" s="1">
        <f t="shared" si="19"/>
        <v>7.2899999999999965</v>
      </c>
      <c r="AG10" s="1">
        <f t="shared" si="20"/>
        <v>-0.14835164835164827</v>
      </c>
      <c r="AI10">
        <v>8</v>
      </c>
      <c r="AJ10">
        <v>9.9019999999999992</v>
      </c>
      <c r="AK10">
        <v>2.569</v>
      </c>
      <c r="AL10">
        <v>0.155</v>
      </c>
      <c r="AM10">
        <f t="shared" si="3"/>
        <v>15.5</v>
      </c>
      <c r="AN10" s="1">
        <f t="shared" si="21"/>
        <v>-2.6999999999999993</v>
      </c>
      <c r="AO10" s="1">
        <f t="shared" si="22"/>
        <v>7.2899999999999965</v>
      </c>
      <c r="AP10" s="1">
        <f t="shared" si="23"/>
        <v>-0.14835164835164827</v>
      </c>
      <c r="AR10">
        <v>8</v>
      </c>
      <c r="AS10">
        <v>9.9060000000000006</v>
      </c>
      <c r="AT10">
        <v>2.4809999999999999</v>
      </c>
      <c r="AU10">
        <v>0.187</v>
      </c>
      <c r="AV10">
        <f t="shared" si="4"/>
        <v>18.7</v>
      </c>
      <c r="AW10" s="1">
        <f t="shared" si="24"/>
        <v>0.5</v>
      </c>
      <c r="AX10" s="1">
        <f t="shared" si="25"/>
        <v>0.25</v>
      </c>
      <c r="AY10" s="1">
        <f t="shared" si="26"/>
        <v>2.7472527472527375E-2</v>
      </c>
      <c r="BA10">
        <v>8</v>
      </c>
      <c r="BB10">
        <v>9.9190000000000005</v>
      </c>
      <c r="BC10">
        <v>2.4020000000000001</v>
      </c>
      <c r="BD10">
        <v>0.186</v>
      </c>
      <c r="BE10">
        <f t="shared" si="5"/>
        <v>18.600000000000001</v>
      </c>
      <c r="BF10" s="1">
        <f t="shared" si="27"/>
        <v>0.40000000000000213</v>
      </c>
      <c r="BG10" s="1">
        <f t="shared" si="28"/>
        <v>0.1600000000000017</v>
      </c>
      <c r="BH10" s="1">
        <f t="shared" si="29"/>
        <v>2.1978021978022122E-2</v>
      </c>
      <c r="BJ10">
        <v>8</v>
      </c>
      <c r="BK10">
        <v>9.9179999999999993</v>
      </c>
      <c r="BL10">
        <v>2.4670000000000001</v>
      </c>
      <c r="BM10">
        <v>0.17799999999999999</v>
      </c>
      <c r="BN10">
        <f t="shared" si="6"/>
        <v>17.8</v>
      </c>
      <c r="BO10" s="1">
        <f t="shared" si="30"/>
        <v>-0.39999999999999858</v>
      </c>
      <c r="BP10" s="1">
        <f t="shared" si="31"/>
        <v>0.15999999999999887</v>
      </c>
      <c r="BQ10" s="1">
        <f t="shared" si="32"/>
        <v>-2.19780219780219E-2</v>
      </c>
      <c r="BS10">
        <v>8</v>
      </c>
      <c r="BT10">
        <v>9.8689999999999998</v>
      </c>
      <c r="BU10">
        <v>2.6070000000000002</v>
      </c>
      <c r="BV10">
        <v>0.183</v>
      </c>
      <c r="BW10">
        <f t="shared" si="7"/>
        <v>18.3</v>
      </c>
      <c r="BX10" s="1">
        <f t="shared" si="33"/>
        <v>0.10000000000000142</v>
      </c>
      <c r="BY10" s="1">
        <f t="shared" si="34"/>
        <v>1.0000000000000285E-2</v>
      </c>
      <c r="BZ10" s="1">
        <f t="shared" si="35"/>
        <v>5.494505494505475E-3</v>
      </c>
      <c r="CB10">
        <v>8</v>
      </c>
      <c r="CC10">
        <v>9.93</v>
      </c>
      <c r="CD10">
        <v>2.3820000000000001</v>
      </c>
      <c r="CE10">
        <v>0.18099999999999999</v>
      </c>
      <c r="CF10">
        <f t="shared" si="8"/>
        <v>18.099999999999998</v>
      </c>
      <c r="CG10" s="1">
        <f t="shared" si="36"/>
        <v>-0.10000000000000142</v>
      </c>
      <c r="CH10" s="1">
        <f t="shared" si="37"/>
        <v>1.0000000000000285E-2</v>
      </c>
      <c r="CI10" s="1">
        <f t="shared" si="38"/>
        <v>-5.494505494505586E-3</v>
      </c>
      <c r="CK10">
        <v>8</v>
      </c>
      <c r="CL10">
        <v>9.9309999999999992</v>
      </c>
      <c r="CM10">
        <v>2.4790000000000001</v>
      </c>
      <c r="CN10">
        <v>0.193</v>
      </c>
      <c r="CO10">
        <f t="shared" si="9"/>
        <v>19.3</v>
      </c>
      <c r="CP10" s="1">
        <f t="shared" si="39"/>
        <v>1.1000000000000014</v>
      </c>
      <c r="CQ10" s="1">
        <f t="shared" si="40"/>
        <v>1.2100000000000031</v>
      </c>
      <c r="CR10" s="1">
        <f t="shared" si="41"/>
        <v>6.0439560439560447E-2</v>
      </c>
    </row>
    <row r="11" spans="1:96" x14ac:dyDescent="0.3">
      <c r="A11">
        <v>14.188000000000001</v>
      </c>
      <c r="B11">
        <v>2.6619999999999999</v>
      </c>
      <c r="C11">
        <v>9</v>
      </c>
      <c r="D11">
        <v>0.309</v>
      </c>
      <c r="E11">
        <f t="shared" si="10"/>
        <v>30.9</v>
      </c>
      <c r="F11">
        <f t="shared" si="11"/>
        <v>0.28899999999999998</v>
      </c>
      <c r="G11">
        <v>9</v>
      </c>
      <c r="H11">
        <v>14.262</v>
      </c>
      <c r="I11">
        <v>2.4089999999999998</v>
      </c>
      <c r="J11">
        <v>0.30599999999999999</v>
      </c>
      <c r="K11">
        <f t="shared" si="0"/>
        <v>30.599999999999998</v>
      </c>
      <c r="L11" s="1">
        <f t="shared" si="12"/>
        <v>-0.30000000000000071</v>
      </c>
      <c r="M11" s="1">
        <f t="shared" si="13"/>
        <v>9.0000000000000427E-2</v>
      </c>
      <c r="N11" s="1">
        <f t="shared" si="14"/>
        <v>-9.7087378640776656E-3</v>
      </c>
      <c r="O11">
        <v>0.30599999999999999</v>
      </c>
      <c r="Q11">
        <v>9</v>
      </c>
      <c r="R11">
        <v>14.211</v>
      </c>
      <c r="S11">
        <v>2.4540000000000002</v>
      </c>
      <c r="T11">
        <v>0.32</v>
      </c>
      <c r="U11">
        <f t="shared" si="1"/>
        <v>32</v>
      </c>
      <c r="V11" s="1">
        <f t="shared" si="15"/>
        <v>1.1000000000000014</v>
      </c>
      <c r="W11" s="1">
        <f t="shared" si="16"/>
        <v>1.2100000000000031</v>
      </c>
      <c r="X11" s="1">
        <f t="shared" si="17"/>
        <v>3.5598705501618255E-2</v>
      </c>
      <c r="Z11">
        <v>9</v>
      </c>
      <c r="AA11">
        <v>14.228999999999999</v>
      </c>
      <c r="AB11">
        <v>2.4</v>
      </c>
      <c r="AC11">
        <v>0.32100000000000001</v>
      </c>
      <c r="AD11">
        <f t="shared" si="2"/>
        <v>32.1</v>
      </c>
      <c r="AE11" s="1">
        <f t="shared" si="18"/>
        <v>1.2000000000000028</v>
      </c>
      <c r="AF11" s="1">
        <f t="shared" si="19"/>
        <v>1.4400000000000068</v>
      </c>
      <c r="AG11" s="1">
        <f t="shared" si="20"/>
        <v>3.8834951456310662E-2</v>
      </c>
      <c r="AI11">
        <v>9</v>
      </c>
      <c r="AJ11">
        <v>14.215</v>
      </c>
      <c r="AK11">
        <v>2.5219999999999998</v>
      </c>
      <c r="AL11">
        <v>0.32700000000000001</v>
      </c>
      <c r="AM11">
        <f t="shared" si="3"/>
        <v>32.700000000000003</v>
      </c>
      <c r="AN11" s="1">
        <f t="shared" si="21"/>
        <v>1.8000000000000043</v>
      </c>
      <c r="AO11" s="1">
        <f t="shared" si="22"/>
        <v>3.2400000000000153</v>
      </c>
      <c r="AP11" s="1">
        <f t="shared" si="23"/>
        <v>5.8252427184466216E-2</v>
      </c>
      <c r="AR11">
        <v>9</v>
      </c>
      <c r="AS11">
        <v>14.212999999999999</v>
      </c>
      <c r="AT11">
        <v>2.4239999999999999</v>
      </c>
      <c r="AU11">
        <v>0.314</v>
      </c>
      <c r="AV11">
        <f t="shared" si="4"/>
        <v>31.4</v>
      </c>
      <c r="AW11" s="1">
        <f t="shared" si="24"/>
        <v>0.5</v>
      </c>
      <c r="AX11" s="1">
        <f t="shared" si="25"/>
        <v>0.25</v>
      </c>
      <c r="AY11" s="1">
        <f t="shared" si="26"/>
        <v>1.6181229773462702E-2</v>
      </c>
      <c r="BA11">
        <v>9</v>
      </c>
      <c r="BB11">
        <v>14.239000000000001</v>
      </c>
      <c r="BC11">
        <v>2.3199999999999998</v>
      </c>
      <c r="BD11">
        <v>0.313</v>
      </c>
      <c r="BE11">
        <f t="shared" si="5"/>
        <v>31.3</v>
      </c>
      <c r="BF11" s="1">
        <f t="shared" si="27"/>
        <v>0.40000000000000213</v>
      </c>
      <c r="BG11" s="1">
        <f t="shared" si="28"/>
        <v>0.1600000000000017</v>
      </c>
      <c r="BH11" s="1">
        <f t="shared" si="29"/>
        <v>1.2944983818770295E-2</v>
      </c>
      <c r="BJ11">
        <v>9</v>
      </c>
      <c r="BK11">
        <v>14.244999999999999</v>
      </c>
      <c r="BL11">
        <v>2.415</v>
      </c>
      <c r="BM11">
        <v>0.32500000000000001</v>
      </c>
      <c r="BN11">
        <f t="shared" si="6"/>
        <v>32.5</v>
      </c>
      <c r="BO11" s="1">
        <f t="shared" si="30"/>
        <v>1.6000000000000014</v>
      </c>
      <c r="BP11" s="1">
        <f t="shared" si="31"/>
        <v>2.5600000000000045</v>
      </c>
      <c r="BQ11" s="1">
        <f t="shared" si="32"/>
        <v>5.1779935275080957E-2</v>
      </c>
      <c r="BS11">
        <v>9</v>
      </c>
      <c r="BT11">
        <v>14.186999999999999</v>
      </c>
      <c r="BU11">
        <v>2.6040000000000001</v>
      </c>
      <c r="BV11">
        <v>0.314</v>
      </c>
      <c r="BW11">
        <f t="shared" si="7"/>
        <v>31.4</v>
      </c>
      <c r="BX11" s="1">
        <f t="shared" si="33"/>
        <v>0.5</v>
      </c>
      <c r="BY11" s="1">
        <f t="shared" si="34"/>
        <v>0.25</v>
      </c>
      <c r="BZ11" s="1">
        <f t="shared" si="35"/>
        <v>1.6181229773462702E-2</v>
      </c>
      <c r="CB11">
        <v>9</v>
      </c>
      <c r="CC11">
        <v>14.260999999999999</v>
      </c>
      <c r="CD11">
        <v>2.302</v>
      </c>
      <c r="CE11">
        <v>0.33</v>
      </c>
      <c r="CF11">
        <f t="shared" si="8"/>
        <v>33</v>
      </c>
      <c r="CG11" s="1">
        <f t="shared" si="36"/>
        <v>2.1000000000000014</v>
      </c>
      <c r="CH11" s="1">
        <f t="shared" si="37"/>
        <v>4.4100000000000064</v>
      </c>
      <c r="CI11" s="1">
        <f t="shared" si="38"/>
        <v>6.7961165048543659E-2</v>
      </c>
      <c r="CK11">
        <v>9</v>
      </c>
      <c r="CL11">
        <v>14.262</v>
      </c>
      <c r="CM11">
        <v>2.4089999999999998</v>
      </c>
      <c r="CN11">
        <v>0.3</v>
      </c>
      <c r="CO11">
        <f t="shared" si="9"/>
        <v>30</v>
      </c>
      <c r="CP11" s="1">
        <f t="shared" si="39"/>
        <v>-0.89999999999999858</v>
      </c>
      <c r="CQ11" s="1">
        <f t="shared" si="40"/>
        <v>0.80999999999999739</v>
      </c>
      <c r="CR11" s="1">
        <f t="shared" si="41"/>
        <v>-2.9126213592232997E-2</v>
      </c>
    </row>
    <row r="12" spans="1:96" x14ac:dyDescent="0.3">
      <c r="A12">
        <v>11.875</v>
      </c>
      <c r="B12">
        <v>2.883</v>
      </c>
      <c r="C12">
        <v>10</v>
      </c>
      <c r="D12">
        <v>0.15</v>
      </c>
      <c r="E12">
        <f t="shared" si="10"/>
        <v>15</v>
      </c>
      <c r="F12">
        <f t="shared" si="11"/>
        <v>0.13</v>
      </c>
      <c r="G12">
        <v>10</v>
      </c>
      <c r="H12">
        <v>11.946</v>
      </c>
      <c r="I12">
        <v>2.6709999999999998</v>
      </c>
      <c r="J12">
        <v>0.14699999999999999</v>
      </c>
      <c r="K12">
        <f t="shared" si="0"/>
        <v>14.7</v>
      </c>
      <c r="L12" s="1">
        <f t="shared" si="12"/>
        <v>-0.30000000000000071</v>
      </c>
      <c r="M12" s="1">
        <f t="shared" si="13"/>
        <v>9.0000000000000427E-2</v>
      </c>
      <c r="N12" s="1">
        <f t="shared" si="14"/>
        <v>-2.0000000000000018E-2</v>
      </c>
      <c r="O12">
        <v>0.14699999999999999</v>
      </c>
      <c r="Q12">
        <v>10</v>
      </c>
      <c r="R12">
        <v>11.904</v>
      </c>
      <c r="S12">
        <v>2.7189999999999999</v>
      </c>
      <c r="T12">
        <v>0.16500000000000001</v>
      </c>
      <c r="U12">
        <f t="shared" si="1"/>
        <v>16.5</v>
      </c>
      <c r="V12" s="1">
        <f t="shared" si="15"/>
        <v>1.5</v>
      </c>
      <c r="W12" s="1">
        <f t="shared" si="16"/>
        <v>2.25</v>
      </c>
      <c r="X12" s="1">
        <f t="shared" si="17"/>
        <v>0.10000000000000009</v>
      </c>
      <c r="Z12">
        <v>10</v>
      </c>
      <c r="AA12">
        <v>11.92</v>
      </c>
      <c r="AB12">
        <v>2.6720000000000002</v>
      </c>
      <c r="AC12">
        <v>0.159</v>
      </c>
      <c r="AD12">
        <f t="shared" si="2"/>
        <v>15.9</v>
      </c>
      <c r="AE12" s="1">
        <f t="shared" si="18"/>
        <v>0.90000000000000036</v>
      </c>
      <c r="AF12" s="1">
        <f t="shared" si="19"/>
        <v>0.81000000000000061</v>
      </c>
      <c r="AG12" s="1">
        <f t="shared" si="20"/>
        <v>6.0000000000000053E-2</v>
      </c>
      <c r="AI12">
        <v>10</v>
      </c>
      <c r="AJ12">
        <v>11.898999999999999</v>
      </c>
      <c r="AK12">
        <v>2.7650000000000001</v>
      </c>
      <c r="AL12">
        <v>0.155</v>
      </c>
      <c r="AM12">
        <f t="shared" si="3"/>
        <v>15.5</v>
      </c>
      <c r="AN12" s="1">
        <f t="shared" si="21"/>
        <v>0.5</v>
      </c>
      <c r="AO12" s="1">
        <f t="shared" si="22"/>
        <v>0.25</v>
      </c>
      <c r="AP12" s="1">
        <f t="shared" si="23"/>
        <v>3.3333333333333437E-2</v>
      </c>
      <c r="AR12">
        <v>10</v>
      </c>
      <c r="AS12">
        <v>11.922000000000001</v>
      </c>
      <c r="AT12">
        <v>2.6930000000000001</v>
      </c>
      <c r="AU12">
        <v>0.16600000000000001</v>
      </c>
      <c r="AV12">
        <f t="shared" si="4"/>
        <v>16.600000000000001</v>
      </c>
      <c r="AW12" s="1">
        <f t="shared" si="24"/>
        <v>1.6000000000000014</v>
      </c>
      <c r="AX12" s="1">
        <f t="shared" si="25"/>
        <v>2.5600000000000045</v>
      </c>
      <c r="AY12" s="1">
        <f t="shared" si="26"/>
        <v>0.10666666666666669</v>
      </c>
      <c r="BA12">
        <v>10</v>
      </c>
      <c r="BB12">
        <v>11.946999999999999</v>
      </c>
      <c r="BC12">
        <v>2.6139999999999999</v>
      </c>
      <c r="BD12">
        <v>0.17199999999999999</v>
      </c>
      <c r="BE12">
        <f t="shared" si="5"/>
        <v>17.2</v>
      </c>
      <c r="BF12" s="1">
        <f t="shared" si="27"/>
        <v>2.1999999999999993</v>
      </c>
      <c r="BG12" s="1">
        <f t="shared" si="28"/>
        <v>4.8399999999999972</v>
      </c>
      <c r="BH12" s="1">
        <f t="shared" si="29"/>
        <v>0.14666666666666672</v>
      </c>
      <c r="BJ12">
        <v>10</v>
      </c>
      <c r="BK12">
        <v>12.021000000000001</v>
      </c>
      <c r="BL12">
        <v>7.202</v>
      </c>
      <c r="BM12">
        <v>0.152</v>
      </c>
      <c r="BN12">
        <f t="shared" si="6"/>
        <v>15.2</v>
      </c>
      <c r="BO12" s="1">
        <f t="shared" si="30"/>
        <v>0.19999999999999929</v>
      </c>
      <c r="BP12" s="1">
        <f t="shared" si="31"/>
        <v>3.9999999999999716E-2</v>
      </c>
      <c r="BQ12" s="1">
        <f t="shared" si="32"/>
        <v>1.3333333333333197E-2</v>
      </c>
      <c r="BS12">
        <v>10</v>
      </c>
      <c r="BT12">
        <v>11.872</v>
      </c>
      <c r="BU12">
        <v>2.84</v>
      </c>
      <c r="BV12">
        <v>0.14499999999999999</v>
      </c>
      <c r="BW12">
        <f t="shared" si="7"/>
        <v>14.499999999999998</v>
      </c>
      <c r="BX12" s="1">
        <f t="shared" si="33"/>
        <v>-0.50000000000000178</v>
      </c>
      <c r="BY12" s="1">
        <f t="shared" si="34"/>
        <v>0.25000000000000178</v>
      </c>
      <c r="BZ12" s="1">
        <f t="shared" si="35"/>
        <v>-3.3333333333333437E-2</v>
      </c>
      <c r="CB12">
        <v>10</v>
      </c>
      <c r="CC12">
        <v>11.942</v>
      </c>
      <c r="CD12">
        <v>2.6030000000000002</v>
      </c>
      <c r="CE12">
        <v>0.151</v>
      </c>
      <c r="CF12">
        <f t="shared" si="8"/>
        <v>15.1</v>
      </c>
      <c r="CG12" s="1">
        <f t="shared" si="36"/>
        <v>9.9999999999999645E-2</v>
      </c>
      <c r="CH12" s="1">
        <f t="shared" si="37"/>
        <v>9.9999999999999291E-3</v>
      </c>
      <c r="CI12" s="1">
        <f t="shared" si="38"/>
        <v>6.6666666666665986E-3</v>
      </c>
      <c r="CK12">
        <v>10</v>
      </c>
      <c r="CL12">
        <v>11.946</v>
      </c>
      <c r="CM12">
        <v>2.6709999999999998</v>
      </c>
      <c r="CN12">
        <v>0.155</v>
      </c>
      <c r="CO12">
        <f t="shared" si="9"/>
        <v>15.5</v>
      </c>
      <c r="CP12" s="1">
        <f t="shared" si="39"/>
        <v>0.5</v>
      </c>
      <c r="CQ12" s="1">
        <f t="shared" si="40"/>
        <v>0.25</v>
      </c>
      <c r="CR12" s="1">
        <f t="shared" si="41"/>
        <v>3.3333333333333437E-2</v>
      </c>
    </row>
    <row r="13" spans="1:96" x14ac:dyDescent="0.3">
      <c r="A13">
        <v>5.82</v>
      </c>
      <c r="B13">
        <v>6.92</v>
      </c>
      <c r="C13">
        <v>11</v>
      </c>
      <c r="D13">
        <v>0.24400000000000002</v>
      </c>
      <c r="E13">
        <f t="shared" si="10"/>
        <v>24.400000000000002</v>
      </c>
      <c r="F13">
        <f t="shared" si="11"/>
        <v>0.22400000000000003</v>
      </c>
      <c r="G13">
        <v>11</v>
      </c>
      <c r="H13">
        <v>5.9950000000000001</v>
      </c>
      <c r="I13">
        <v>6.8760000000000003</v>
      </c>
      <c r="J13">
        <v>0.248</v>
      </c>
      <c r="K13">
        <f t="shared" si="0"/>
        <v>24.8</v>
      </c>
      <c r="L13" s="1">
        <f t="shared" si="12"/>
        <v>0.39999999999999858</v>
      </c>
      <c r="M13" s="1">
        <f t="shared" si="13"/>
        <v>0.15999999999999887</v>
      </c>
      <c r="N13" s="1">
        <f t="shared" si="14"/>
        <v>1.6393442622950838E-2</v>
      </c>
      <c r="O13">
        <v>0.248</v>
      </c>
      <c r="Q13">
        <v>11</v>
      </c>
      <c r="R13">
        <v>5.9130000000000003</v>
      </c>
      <c r="S13">
        <v>6.8360000000000003</v>
      </c>
      <c r="T13">
        <v>0.252</v>
      </c>
      <c r="U13">
        <f t="shared" si="1"/>
        <v>25.2</v>
      </c>
      <c r="V13" s="1">
        <f t="shared" si="15"/>
        <v>0.79999999999999716</v>
      </c>
      <c r="W13" s="1">
        <f t="shared" si="16"/>
        <v>0.63999999999999546</v>
      </c>
      <c r="X13" s="1">
        <f t="shared" si="17"/>
        <v>3.2786885245901454E-2</v>
      </c>
      <c r="Z13">
        <v>11</v>
      </c>
      <c r="AA13">
        <v>5.94</v>
      </c>
      <c r="AB13">
        <v>6.8140000000000001</v>
      </c>
      <c r="AC13">
        <v>0.26600000000000001</v>
      </c>
      <c r="AD13">
        <f t="shared" si="2"/>
        <v>26.6</v>
      </c>
      <c r="AE13" s="1">
        <f t="shared" si="18"/>
        <v>2.1999999999999993</v>
      </c>
      <c r="AF13" s="1">
        <f t="shared" si="19"/>
        <v>4.8399999999999972</v>
      </c>
      <c r="AG13" s="1">
        <f t="shared" si="20"/>
        <v>9.0163934426229497E-2</v>
      </c>
      <c r="AI13">
        <v>11</v>
      </c>
      <c r="AJ13">
        <v>5.8860000000000001</v>
      </c>
      <c r="AK13">
        <v>6.867</v>
      </c>
      <c r="AL13">
        <v>0.252</v>
      </c>
      <c r="AM13">
        <f t="shared" si="3"/>
        <v>25.2</v>
      </c>
      <c r="AN13" s="1">
        <f t="shared" si="21"/>
        <v>0.79999999999999716</v>
      </c>
      <c r="AO13" s="1">
        <f t="shared" si="22"/>
        <v>0.63999999999999546</v>
      </c>
      <c r="AP13" s="1">
        <f t="shared" si="23"/>
        <v>3.2786885245901454E-2</v>
      </c>
      <c r="AR13">
        <v>11</v>
      </c>
      <c r="AS13">
        <v>5.9379999999999997</v>
      </c>
      <c r="AT13">
        <v>6.8179999999999996</v>
      </c>
      <c r="AU13">
        <v>0.25700000000000001</v>
      </c>
      <c r="AV13">
        <f t="shared" si="4"/>
        <v>25.7</v>
      </c>
      <c r="AW13" s="1">
        <f t="shared" si="24"/>
        <v>1.2999999999999972</v>
      </c>
      <c r="AX13" s="1">
        <f t="shared" si="25"/>
        <v>1.6899999999999926</v>
      </c>
      <c r="AY13" s="1">
        <f t="shared" si="26"/>
        <v>5.3278688524589946E-2</v>
      </c>
      <c r="BA13">
        <v>11</v>
      </c>
      <c r="BB13">
        <v>5.976</v>
      </c>
      <c r="BC13">
        <v>6.7750000000000004</v>
      </c>
      <c r="BD13">
        <v>0.26400000000000001</v>
      </c>
      <c r="BE13">
        <f t="shared" si="5"/>
        <v>26.400000000000002</v>
      </c>
      <c r="BF13" s="1">
        <f t="shared" si="27"/>
        <v>2</v>
      </c>
      <c r="BG13" s="1">
        <f t="shared" si="28"/>
        <v>4</v>
      </c>
      <c r="BH13" s="1">
        <f t="shared" si="29"/>
        <v>8.1967213114754189E-2</v>
      </c>
      <c r="BJ13">
        <v>11</v>
      </c>
      <c r="BK13">
        <v>5.9370000000000003</v>
      </c>
      <c r="BL13">
        <v>6.8129999999999997</v>
      </c>
      <c r="BM13">
        <v>0.25800000000000001</v>
      </c>
      <c r="BN13">
        <f t="shared" si="6"/>
        <v>25.8</v>
      </c>
      <c r="BO13" s="1">
        <f t="shared" si="30"/>
        <v>1.3999999999999986</v>
      </c>
      <c r="BP13" s="1">
        <f t="shared" si="31"/>
        <v>1.959999999999996</v>
      </c>
      <c r="BQ13" s="1">
        <f t="shared" si="32"/>
        <v>5.7377049180327822E-2</v>
      </c>
      <c r="BS13">
        <v>11</v>
      </c>
      <c r="BT13">
        <v>5.83</v>
      </c>
      <c r="BU13">
        <v>6.8959999999999999</v>
      </c>
      <c r="BV13">
        <v>0.26900000000000002</v>
      </c>
      <c r="BW13">
        <f t="shared" si="7"/>
        <v>26.900000000000002</v>
      </c>
      <c r="BX13" s="1">
        <f t="shared" si="33"/>
        <v>2.5</v>
      </c>
      <c r="BY13" s="1">
        <f t="shared" si="34"/>
        <v>6.25</v>
      </c>
      <c r="BZ13" s="1">
        <f t="shared" si="35"/>
        <v>0.10245901639344268</v>
      </c>
      <c r="CB13">
        <v>11</v>
      </c>
      <c r="CC13">
        <v>6.0149999999999997</v>
      </c>
      <c r="CD13">
        <v>6.76</v>
      </c>
      <c r="CE13">
        <v>0.27400000000000002</v>
      </c>
      <c r="CF13">
        <f t="shared" si="8"/>
        <v>27.400000000000002</v>
      </c>
      <c r="CG13" s="1">
        <f t="shared" si="36"/>
        <v>3</v>
      </c>
      <c r="CH13" s="1">
        <f t="shared" si="37"/>
        <v>9</v>
      </c>
      <c r="CI13" s="1">
        <f t="shared" si="38"/>
        <v>0.12295081967213117</v>
      </c>
      <c r="CK13">
        <v>11</v>
      </c>
      <c r="CL13">
        <v>5.9669999999999996</v>
      </c>
      <c r="CM13">
        <v>6.7409999999999997</v>
      </c>
      <c r="CN13">
        <v>0.16400000000000001</v>
      </c>
      <c r="CO13">
        <f t="shared" si="9"/>
        <v>16.400000000000002</v>
      </c>
      <c r="CP13" s="1">
        <f t="shared" si="39"/>
        <v>-8</v>
      </c>
      <c r="CQ13" s="1">
        <f t="shared" si="40"/>
        <v>64</v>
      </c>
      <c r="CR13" s="1">
        <f t="shared" si="41"/>
        <v>-0.32786885245901631</v>
      </c>
    </row>
    <row r="14" spans="1:96" x14ac:dyDescent="0.3">
      <c r="A14">
        <v>11.898</v>
      </c>
      <c r="B14">
        <v>7.4020000000000001</v>
      </c>
      <c r="C14">
        <v>12</v>
      </c>
      <c r="D14">
        <v>0.215</v>
      </c>
      <c r="E14">
        <f t="shared" si="10"/>
        <v>21.5</v>
      </c>
      <c r="F14">
        <f t="shared" si="11"/>
        <v>0.19500000000000001</v>
      </c>
      <c r="G14">
        <v>12</v>
      </c>
      <c r="H14">
        <v>12.058999999999999</v>
      </c>
      <c r="I14">
        <v>7.1820000000000004</v>
      </c>
      <c r="J14">
        <v>0.222</v>
      </c>
      <c r="K14">
        <f t="shared" si="0"/>
        <v>22.2</v>
      </c>
      <c r="L14" s="1">
        <f t="shared" si="12"/>
        <v>0.69999999999999929</v>
      </c>
      <c r="M14" s="1">
        <f t="shared" si="13"/>
        <v>0.48999999999999899</v>
      </c>
      <c r="N14" s="1">
        <f t="shared" si="14"/>
        <v>3.2558139534883734E-2</v>
      </c>
      <c r="O14">
        <v>0.222</v>
      </c>
      <c r="Q14">
        <v>12</v>
      </c>
      <c r="R14">
        <v>11.999000000000001</v>
      </c>
      <c r="S14">
        <v>7.2249999999999996</v>
      </c>
      <c r="T14">
        <v>0.23</v>
      </c>
      <c r="U14">
        <f t="shared" si="1"/>
        <v>23</v>
      </c>
      <c r="V14" s="1">
        <f t="shared" si="15"/>
        <v>1.5</v>
      </c>
      <c r="W14" s="1">
        <f t="shared" si="16"/>
        <v>2.25</v>
      </c>
      <c r="X14" s="1">
        <f t="shared" si="17"/>
        <v>6.9767441860465018E-2</v>
      </c>
      <c r="Z14">
        <v>12</v>
      </c>
      <c r="AA14">
        <v>12.032999999999999</v>
      </c>
      <c r="AB14">
        <v>7.1840000000000002</v>
      </c>
      <c r="AC14">
        <v>0.20300000000000001</v>
      </c>
      <c r="AD14">
        <f t="shared" si="2"/>
        <v>20.3</v>
      </c>
      <c r="AE14" s="1">
        <f t="shared" si="18"/>
        <v>-1.1999999999999993</v>
      </c>
      <c r="AF14" s="1">
        <f t="shared" si="19"/>
        <v>1.4399999999999984</v>
      </c>
      <c r="AG14" s="1">
        <f t="shared" si="20"/>
        <v>-5.5813953488372037E-2</v>
      </c>
      <c r="AI14">
        <v>12</v>
      </c>
      <c r="AJ14">
        <v>11.968</v>
      </c>
      <c r="AK14">
        <v>7.2789999999999999</v>
      </c>
      <c r="AL14">
        <v>0.314</v>
      </c>
      <c r="AM14">
        <f t="shared" si="3"/>
        <v>31.4</v>
      </c>
      <c r="AN14" s="1">
        <f t="shared" si="21"/>
        <v>9.8999999999999986</v>
      </c>
      <c r="AO14" s="1">
        <f t="shared" si="22"/>
        <v>98.009999999999977</v>
      </c>
      <c r="AP14" s="1">
        <f t="shared" si="23"/>
        <v>0.46046511627906961</v>
      </c>
      <c r="AR14">
        <v>12</v>
      </c>
      <c r="AS14">
        <v>12.023</v>
      </c>
      <c r="AT14">
        <v>7.2030000000000003</v>
      </c>
      <c r="AU14">
        <v>0.224</v>
      </c>
      <c r="AV14">
        <f t="shared" si="4"/>
        <v>22.400000000000002</v>
      </c>
      <c r="AW14" s="1">
        <f t="shared" si="24"/>
        <v>0.90000000000000213</v>
      </c>
      <c r="AX14" s="1">
        <f t="shared" si="25"/>
        <v>0.81000000000000383</v>
      </c>
      <c r="AY14" s="1">
        <f t="shared" si="26"/>
        <v>4.1860465116279277E-2</v>
      </c>
      <c r="BA14">
        <v>12</v>
      </c>
      <c r="BB14">
        <v>12.07</v>
      </c>
      <c r="BC14">
        <v>7.1059999999999999</v>
      </c>
      <c r="BD14">
        <v>0.23200000000000001</v>
      </c>
      <c r="BE14">
        <f t="shared" si="5"/>
        <v>23.200000000000003</v>
      </c>
      <c r="BF14" s="1">
        <f t="shared" si="27"/>
        <v>1.7000000000000028</v>
      </c>
      <c r="BG14" s="1">
        <f t="shared" si="28"/>
        <v>2.8900000000000095</v>
      </c>
      <c r="BH14" s="1">
        <f t="shared" si="29"/>
        <v>7.9069767441860561E-2</v>
      </c>
      <c r="BJ14">
        <v>12</v>
      </c>
      <c r="BK14">
        <v>11.971</v>
      </c>
      <c r="BL14">
        <v>2.6989999999999998</v>
      </c>
      <c r="BM14">
        <v>0.22900000000000001</v>
      </c>
      <c r="BN14">
        <f t="shared" si="6"/>
        <v>22.900000000000002</v>
      </c>
      <c r="BO14" s="1">
        <f t="shared" si="30"/>
        <v>1.4000000000000021</v>
      </c>
      <c r="BP14" s="1">
        <f t="shared" si="31"/>
        <v>1.960000000000006</v>
      </c>
      <c r="BQ14" s="1">
        <f t="shared" si="32"/>
        <v>6.5116279069767469E-2</v>
      </c>
      <c r="BS14">
        <v>12</v>
      </c>
      <c r="BT14">
        <v>11.92</v>
      </c>
      <c r="BU14">
        <v>7.3579999999999997</v>
      </c>
      <c r="BV14">
        <v>0.23499999999999999</v>
      </c>
      <c r="BW14">
        <f t="shared" si="7"/>
        <v>23.5</v>
      </c>
      <c r="BX14" s="1">
        <f t="shared" si="33"/>
        <v>2</v>
      </c>
      <c r="BY14" s="1">
        <f t="shared" si="34"/>
        <v>4</v>
      </c>
      <c r="BZ14" s="1">
        <f t="shared" si="35"/>
        <v>9.3023255813953432E-2</v>
      </c>
      <c r="CB14">
        <v>12</v>
      </c>
      <c r="CC14">
        <v>12.092000000000001</v>
      </c>
      <c r="CD14">
        <v>7.0759999999999996</v>
      </c>
      <c r="CE14">
        <v>0.22700000000000001</v>
      </c>
      <c r="CF14">
        <f t="shared" si="8"/>
        <v>22.7</v>
      </c>
      <c r="CG14" s="1">
        <f t="shared" si="36"/>
        <v>1.1999999999999993</v>
      </c>
      <c r="CH14" s="1">
        <f t="shared" si="37"/>
        <v>1.4399999999999984</v>
      </c>
      <c r="CI14" s="1">
        <f t="shared" si="38"/>
        <v>5.5813953488372148E-2</v>
      </c>
      <c r="CK14">
        <v>12</v>
      </c>
      <c r="CL14">
        <v>12.058999999999999</v>
      </c>
      <c r="CM14">
        <v>7.1820000000000004</v>
      </c>
      <c r="CN14">
        <v>0.25600000000000001</v>
      </c>
      <c r="CO14">
        <f t="shared" si="9"/>
        <v>25.6</v>
      </c>
      <c r="CP14" s="1">
        <f t="shared" si="39"/>
        <v>4.1000000000000014</v>
      </c>
      <c r="CQ14" s="1">
        <f t="shared" si="40"/>
        <v>16.810000000000013</v>
      </c>
      <c r="CR14" s="1">
        <f t="shared" si="41"/>
        <v>0.19069767441860463</v>
      </c>
    </row>
    <row r="15" spans="1:96" x14ac:dyDescent="0.3">
      <c r="A15">
        <v>11.856</v>
      </c>
      <c r="B15">
        <v>4.66</v>
      </c>
      <c r="C15">
        <v>13</v>
      </c>
      <c r="D15">
        <v>0.33200000000000002</v>
      </c>
      <c r="E15">
        <f t="shared" si="10"/>
        <v>33.200000000000003</v>
      </c>
      <c r="F15">
        <f t="shared" si="11"/>
        <v>0.312</v>
      </c>
      <c r="G15">
        <v>13</v>
      </c>
      <c r="H15">
        <v>11.949</v>
      </c>
      <c r="I15">
        <v>4.4560000000000004</v>
      </c>
      <c r="J15">
        <v>0.35499999999999998</v>
      </c>
      <c r="K15">
        <f t="shared" si="0"/>
        <v>35.5</v>
      </c>
      <c r="L15" s="1">
        <f t="shared" si="12"/>
        <v>2.2999999999999972</v>
      </c>
      <c r="M15" s="1">
        <f t="shared" si="13"/>
        <v>5.2899999999999867</v>
      </c>
      <c r="N15" s="1">
        <f t="shared" si="14"/>
        <v>6.9277108433734913E-2</v>
      </c>
      <c r="O15">
        <v>0.35499999999999998</v>
      </c>
      <c r="Q15">
        <v>13</v>
      </c>
      <c r="R15">
        <v>11.927</v>
      </c>
      <c r="S15">
        <v>4.4939999999999998</v>
      </c>
      <c r="T15">
        <v>0.32100000000000001</v>
      </c>
      <c r="U15">
        <f t="shared" si="1"/>
        <v>32.1</v>
      </c>
      <c r="V15" s="1">
        <f t="shared" si="15"/>
        <v>-1.1000000000000014</v>
      </c>
      <c r="W15" s="1">
        <f t="shared" si="16"/>
        <v>1.2100000000000031</v>
      </c>
      <c r="X15" s="1">
        <f t="shared" si="17"/>
        <v>-3.3132530120482007E-2</v>
      </c>
      <c r="Z15">
        <v>13</v>
      </c>
      <c r="AA15">
        <v>11.943</v>
      </c>
      <c r="AB15">
        <v>4.4489999999999998</v>
      </c>
      <c r="AC15">
        <v>0.372</v>
      </c>
      <c r="AD15">
        <f t="shared" si="2"/>
        <v>37.200000000000003</v>
      </c>
      <c r="AE15" s="1">
        <f t="shared" si="18"/>
        <v>4</v>
      </c>
      <c r="AF15" s="1">
        <f t="shared" si="19"/>
        <v>16</v>
      </c>
      <c r="AG15" s="1">
        <f t="shared" si="20"/>
        <v>0.12048192771084332</v>
      </c>
      <c r="AI15">
        <v>13</v>
      </c>
      <c r="AJ15">
        <v>11.897</v>
      </c>
      <c r="AK15">
        <v>4.55</v>
      </c>
      <c r="AL15">
        <v>0.38100000000000001</v>
      </c>
      <c r="AM15">
        <f t="shared" si="3"/>
        <v>38.1</v>
      </c>
      <c r="AN15" s="1">
        <f t="shared" si="21"/>
        <v>4.8999999999999986</v>
      </c>
      <c r="AO15" s="1">
        <f t="shared" si="22"/>
        <v>24.009999999999987</v>
      </c>
      <c r="AP15" s="1">
        <f t="shared" si="23"/>
        <v>0.14759036144578297</v>
      </c>
      <c r="AR15">
        <v>13</v>
      </c>
      <c r="AS15">
        <v>11.93</v>
      </c>
      <c r="AT15">
        <v>4.4640000000000004</v>
      </c>
      <c r="AU15">
        <v>0.34300000000000003</v>
      </c>
      <c r="AV15">
        <f t="shared" si="4"/>
        <v>34.300000000000004</v>
      </c>
      <c r="AW15" s="1">
        <f t="shared" si="24"/>
        <v>1.1000000000000014</v>
      </c>
      <c r="AX15" s="1">
        <f t="shared" si="25"/>
        <v>1.2100000000000031</v>
      </c>
      <c r="AY15" s="1">
        <f t="shared" si="26"/>
        <v>3.3132530120481896E-2</v>
      </c>
      <c r="BA15">
        <v>13</v>
      </c>
      <c r="BB15">
        <v>11.962</v>
      </c>
      <c r="BC15">
        <v>4.3819999999999997</v>
      </c>
      <c r="BD15">
        <v>0.34200000000000003</v>
      </c>
      <c r="BE15">
        <f t="shared" si="5"/>
        <v>34.200000000000003</v>
      </c>
      <c r="BF15" s="1">
        <f t="shared" si="27"/>
        <v>1</v>
      </c>
      <c r="BG15" s="1">
        <f t="shared" si="28"/>
        <v>1</v>
      </c>
      <c r="BH15" s="1">
        <f t="shared" si="29"/>
        <v>3.0120481927710774E-2</v>
      </c>
      <c r="BJ15">
        <v>13</v>
      </c>
      <c r="BK15">
        <v>11.96</v>
      </c>
      <c r="BL15">
        <v>4.46</v>
      </c>
      <c r="BM15">
        <v>0.34200000000000003</v>
      </c>
      <c r="BN15">
        <f t="shared" si="6"/>
        <v>34.200000000000003</v>
      </c>
      <c r="BO15" s="1">
        <f t="shared" si="30"/>
        <v>1</v>
      </c>
      <c r="BP15" s="1">
        <f t="shared" si="31"/>
        <v>1</v>
      </c>
      <c r="BQ15" s="1">
        <f t="shared" si="32"/>
        <v>3.0120481927710774E-2</v>
      </c>
      <c r="BS15">
        <v>13</v>
      </c>
      <c r="BT15">
        <v>11.855</v>
      </c>
      <c r="BU15">
        <v>4.633</v>
      </c>
      <c r="BV15">
        <v>0.33300000000000002</v>
      </c>
      <c r="BW15">
        <f t="shared" si="7"/>
        <v>33.300000000000004</v>
      </c>
      <c r="BX15" s="1">
        <f t="shared" si="33"/>
        <v>0.10000000000000142</v>
      </c>
      <c r="BY15" s="1">
        <f t="shared" si="34"/>
        <v>1.0000000000000285E-2</v>
      </c>
      <c r="BZ15" s="1">
        <f t="shared" si="35"/>
        <v>3.0120481927711218E-3</v>
      </c>
      <c r="CB15">
        <v>13</v>
      </c>
      <c r="CC15">
        <v>11.978</v>
      </c>
      <c r="CD15">
        <v>4.3490000000000002</v>
      </c>
      <c r="CE15">
        <v>0.311</v>
      </c>
      <c r="CF15">
        <f t="shared" si="8"/>
        <v>31.1</v>
      </c>
      <c r="CG15" s="1">
        <f t="shared" si="36"/>
        <v>-2.1000000000000014</v>
      </c>
      <c r="CH15" s="1">
        <f t="shared" si="37"/>
        <v>4.4100000000000064</v>
      </c>
      <c r="CI15" s="1">
        <f t="shared" si="38"/>
        <v>-6.325301204819278E-2</v>
      </c>
      <c r="CK15">
        <v>13</v>
      </c>
      <c r="CL15">
        <v>11.949</v>
      </c>
      <c r="CM15">
        <v>4.4560000000000004</v>
      </c>
      <c r="CN15">
        <v>0.29899999999999999</v>
      </c>
      <c r="CO15">
        <f t="shared" si="9"/>
        <v>29.9</v>
      </c>
      <c r="CP15" s="1">
        <f t="shared" si="39"/>
        <v>-3.3000000000000043</v>
      </c>
      <c r="CQ15" s="1">
        <f t="shared" si="40"/>
        <v>10.890000000000029</v>
      </c>
      <c r="CR15" s="1">
        <f t="shared" si="41"/>
        <v>-9.9397590361445909E-2</v>
      </c>
    </row>
    <row r="16" spans="1:96" x14ac:dyDescent="0.3">
      <c r="A16">
        <v>14.042</v>
      </c>
      <c r="B16">
        <v>4.8470000000000004</v>
      </c>
      <c r="C16">
        <v>14</v>
      </c>
      <c r="D16">
        <v>0.36499999999999999</v>
      </c>
      <c r="E16">
        <f t="shared" si="10"/>
        <v>36.5</v>
      </c>
      <c r="F16">
        <f t="shared" si="11"/>
        <v>0.34499999999999997</v>
      </c>
      <c r="G16">
        <v>14</v>
      </c>
      <c r="H16">
        <v>14.153</v>
      </c>
      <c r="I16">
        <v>4.6120000000000001</v>
      </c>
      <c r="J16">
        <v>0.38500000000000001</v>
      </c>
      <c r="K16">
        <f t="shared" si="0"/>
        <v>38.5</v>
      </c>
      <c r="L16" s="1">
        <f t="shared" si="12"/>
        <v>2</v>
      </c>
      <c r="M16" s="1">
        <f t="shared" si="13"/>
        <v>4</v>
      </c>
      <c r="N16" s="1">
        <f t="shared" si="14"/>
        <v>5.4794520547945202E-2</v>
      </c>
      <c r="O16">
        <v>0.38500000000000001</v>
      </c>
      <c r="Q16">
        <v>14</v>
      </c>
      <c r="R16">
        <v>14.114000000000001</v>
      </c>
      <c r="S16">
        <v>4.649</v>
      </c>
      <c r="T16">
        <v>0.39600000000000002</v>
      </c>
      <c r="U16">
        <f t="shared" si="1"/>
        <v>39.6</v>
      </c>
      <c r="V16" s="1">
        <f t="shared" si="15"/>
        <v>3.1000000000000014</v>
      </c>
      <c r="W16" s="1">
        <f t="shared" si="16"/>
        <v>9.6100000000000083</v>
      </c>
      <c r="X16" s="1">
        <f t="shared" si="17"/>
        <v>8.4931506849315053E-2</v>
      </c>
      <c r="Z16">
        <v>14</v>
      </c>
      <c r="AA16">
        <v>14.124000000000001</v>
      </c>
      <c r="AB16">
        <v>4.5880000000000001</v>
      </c>
      <c r="AC16">
        <v>0.38500000000000001</v>
      </c>
      <c r="AD16">
        <f t="shared" si="2"/>
        <v>38.5</v>
      </c>
      <c r="AE16" s="1">
        <f t="shared" si="18"/>
        <v>2</v>
      </c>
      <c r="AF16" s="1">
        <f t="shared" si="19"/>
        <v>4</v>
      </c>
      <c r="AG16" s="1">
        <f t="shared" si="20"/>
        <v>5.4794520547945202E-2</v>
      </c>
      <c r="AI16">
        <v>14</v>
      </c>
      <c r="AJ16">
        <v>14.082000000000001</v>
      </c>
      <c r="AK16">
        <v>4.7119999999999997</v>
      </c>
      <c r="AL16">
        <v>0.373</v>
      </c>
      <c r="AM16">
        <f t="shared" si="3"/>
        <v>37.299999999999997</v>
      </c>
      <c r="AN16" s="1">
        <f t="shared" si="21"/>
        <v>0.79999999999999716</v>
      </c>
      <c r="AO16" s="1">
        <f t="shared" si="22"/>
        <v>0.63999999999999546</v>
      </c>
      <c r="AP16" s="1">
        <f t="shared" si="23"/>
        <v>2.1917808219177992E-2</v>
      </c>
      <c r="AR16">
        <v>14</v>
      </c>
      <c r="AS16">
        <v>14.109</v>
      </c>
      <c r="AT16">
        <v>4.62</v>
      </c>
      <c r="AU16">
        <v>0.378</v>
      </c>
      <c r="AV16">
        <f t="shared" si="4"/>
        <v>37.799999999999997</v>
      </c>
      <c r="AW16" s="1">
        <f t="shared" si="24"/>
        <v>1.2999999999999972</v>
      </c>
      <c r="AX16" s="1">
        <f t="shared" si="25"/>
        <v>1.6899999999999926</v>
      </c>
      <c r="AY16" s="1">
        <f t="shared" si="26"/>
        <v>3.5616438356164348E-2</v>
      </c>
      <c r="BA16">
        <v>14</v>
      </c>
      <c r="BB16">
        <v>14.148999999999999</v>
      </c>
      <c r="BC16">
        <v>4.5170000000000003</v>
      </c>
      <c r="BD16">
        <v>0.39600000000000002</v>
      </c>
      <c r="BE16">
        <f t="shared" si="5"/>
        <v>39.6</v>
      </c>
      <c r="BF16" s="1">
        <f t="shared" si="27"/>
        <v>3.1000000000000014</v>
      </c>
      <c r="BG16" s="1">
        <f t="shared" si="28"/>
        <v>9.6100000000000083</v>
      </c>
      <c r="BH16" s="1">
        <f t="shared" si="29"/>
        <v>8.4931506849315053E-2</v>
      </c>
      <c r="BJ16">
        <v>14</v>
      </c>
      <c r="BK16">
        <v>14.138</v>
      </c>
      <c r="BL16">
        <v>4.6159999999999997</v>
      </c>
      <c r="BM16">
        <v>0.378</v>
      </c>
      <c r="BN16">
        <f t="shared" si="6"/>
        <v>37.799999999999997</v>
      </c>
      <c r="BO16" s="1">
        <f t="shared" si="30"/>
        <v>1.2999999999999972</v>
      </c>
      <c r="BP16" s="1">
        <f t="shared" si="31"/>
        <v>1.6899999999999926</v>
      </c>
      <c r="BQ16" s="1">
        <f t="shared" si="32"/>
        <v>3.5616438356164348E-2</v>
      </c>
      <c r="BS16">
        <v>14</v>
      </c>
      <c r="BT16">
        <v>14.041</v>
      </c>
      <c r="BU16">
        <v>4.8209999999999997</v>
      </c>
      <c r="BV16">
        <v>0.36199999999999999</v>
      </c>
      <c r="BW16">
        <f t="shared" si="7"/>
        <v>36.199999999999996</v>
      </c>
      <c r="BX16" s="1">
        <f t="shared" si="33"/>
        <v>-0.30000000000000426</v>
      </c>
      <c r="BY16" s="1">
        <f t="shared" si="34"/>
        <v>9.0000000000002564E-2</v>
      </c>
      <c r="BZ16" s="1">
        <f t="shared" si="35"/>
        <v>-8.2191780821918581E-3</v>
      </c>
      <c r="CB16">
        <v>14</v>
      </c>
      <c r="CC16">
        <v>14.154</v>
      </c>
      <c r="CD16">
        <v>4.4880000000000004</v>
      </c>
      <c r="CE16">
        <v>0.34200000000000003</v>
      </c>
      <c r="CF16">
        <f t="shared" si="8"/>
        <v>34.200000000000003</v>
      </c>
      <c r="CG16" s="1">
        <f t="shared" si="36"/>
        <v>-2.2999999999999972</v>
      </c>
      <c r="CH16" s="1">
        <f t="shared" si="37"/>
        <v>5.2899999999999867</v>
      </c>
      <c r="CI16" s="1">
        <f t="shared" si="38"/>
        <v>-6.3013698630136949E-2</v>
      </c>
      <c r="CK16">
        <v>14</v>
      </c>
      <c r="CL16">
        <v>14.153</v>
      </c>
      <c r="CM16">
        <v>4.6120000000000001</v>
      </c>
      <c r="CN16">
        <v>0.36799999999999999</v>
      </c>
      <c r="CO16">
        <f t="shared" si="9"/>
        <v>36.799999999999997</v>
      </c>
      <c r="CP16" s="1">
        <f t="shared" si="39"/>
        <v>0.29999999999999716</v>
      </c>
      <c r="CQ16" s="1">
        <f t="shared" si="40"/>
        <v>8.999999999999829E-2</v>
      </c>
      <c r="CR16" s="1">
        <f t="shared" si="41"/>
        <v>8.219178082191636E-3</v>
      </c>
    </row>
    <row r="17" spans="1:96" x14ac:dyDescent="0.3">
      <c r="A17">
        <v>17.891999999999999</v>
      </c>
      <c r="B17">
        <v>2.8380000000000001</v>
      </c>
      <c r="C17">
        <v>15</v>
      </c>
      <c r="D17">
        <v>0.34300000000000003</v>
      </c>
      <c r="E17">
        <f t="shared" si="10"/>
        <v>34.300000000000004</v>
      </c>
      <c r="F17">
        <f t="shared" si="11"/>
        <v>0.32300000000000001</v>
      </c>
      <c r="G17">
        <v>15</v>
      </c>
      <c r="H17">
        <v>17.978000000000002</v>
      </c>
      <c r="I17">
        <v>2.512</v>
      </c>
      <c r="J17">
        <v>0.34200000000000003</v>
      </c>
      <c r="K17">
        <f t="shared" si="0"/>
        <v>34.200000000000003</v>
      </c>
      <c r="L17" s="1">
        <f t="shared" si="12"/>
        <v>-0.10000000000000142</v>
      </c>
      <c r="M17" s="1">
        <f t="shared" si="13"/>
        <v>1.0000000000000285E-2</v>
      </c>
      <c r="N17" s="1">
        <f t="shared" si="14"/>
        <v>-2.9154518950437192E-3</v>
      </c>
      <c r="O17">
        <v>0.34200000000000003</v>
      </c>
      <c r="Q17">
        <v>15</v>
      </c>
      <c r="R17">
        <v>17.925000000000001</v>
      </c>
      <c r="S17">
        <v>2.6019999999999999</v>
      </c>
      <c r="T17">
        <v>0.38400000000000001</v>
      </c>
      <c r="U17">
        <f t="shared" si="1"/>
        <v>38.4</v>
      </c>
      <c r="V17" s="1">
        <f t="shared" si="15"/>
        <v>4.0999999999999943</v>
      </c>
      <c r="W17" s="1">
        <f t="shared" si="16"/>
        <v>16.809999999999953</v>
      </c>
      <c r="X17" s="1">
        <f t="shared" si="17"/>
        <v>0.11953352769679282</v>
      </c>
      <c r="Z17">
        <v>15</v>
      </c>
      <c r="AA17">
        <v>17.934999999999999</v>
      </c>
      <c r="AB17">
        <v>2.52</v>
      </c>
      <c r="AC17">
        <v>0.36799999999999999</v>
      </c>
      <c r="AD17">
        <f t="shared" si="2"/>
        <v>36.799999999999997</v>
      </c>
      <c r="AE17" s="1">
        <f t="shared" si="18"/>
        <v>2.4999999999999929</v>
      </c>
      <c r="AF17" s="1">
        <f t="shared" si="19"/>
        <v>6.2499999999999645</v>
      </c>
      <c r="AG17" s="1">
        <f t="shared" si="20"/>
        <v>7.288629737609309E-2</v>
      </c>
      <c r="AI17">
        <v>15</v>
      </c>
      <c r="AJ17">
        <v>17.922000000000001</v>
      </c>
      <c r="AK17">
        <v>2.681</v>
      </c>
      <c r="AL17">
        <v>0.36199999999999999</v>
      </c>
      <c r="AM17">
        <f t="shared" si="3"/>
        <v>36.199999999999996</v>
      </c>
      <c r="AN17" s="1">
        <f t="shared" si="21"/>
        <v>1.8999999999999915</v>
      </c>
      <c r="AO17" s="1">
        <f t="shared" si="22"/>
        <v>3.6099999999999675</v>
      </c>
      <c r="AP17" s="1">
        <f t="shared" si="23"/>
        <v>5.5393586005830553E-2</v>
      </c>
      <c r="AR17">
        <v>15</v>
      </c>
      <c r="AS17">
        <v>17.954999999999998</v>
      </c>
      <c r="AT17">
        <v>2.5419999999999998</v>
      </c>
      <c r="AU17">
        <v>0.38300000000000001</v>
      </c>
      <c r="AV17">
        <f t="shared" si="4"/>
        <v>38.299999999999997</v>
      </c>
      <c r="AW17" s="1">
        <f t="shared" si="24"/>
        <v>3.9999999999999929</v>
      </c>
      <c r="AX17" s="1">
        <f t="shared" si="25"/>
        <v>15.999999999999943</v>
      </c>
      <c r="AY17" s="1">
        <f t="shared" si="26"/>
        <v>0.11661807580174899</v>
      </c>
      <c r="BA17">
        <v>15</v>
      </c>
      <c r="BB17">
        <v>17.949000000000002</v>
      </c>
      <c r="BC17">
        <v>2.4020000000000001</v>
      </c>
      <c r="BD17">
        <v>0.34799999999999998</v>
      </c>
      <c r="BE17">
        <f t="shared" si="5"/>
        <v>34.799999999999997</v>
      </c>
      <c r="BF17" s="1">
        <f t="shared" si="27"/>
        <v>0.49999999999999289</v>
      </c>
      <c r="BG17" s="1">
        <f t="shared" si="28"/>
        <v>0.24999999999999289</v>
      </c>
      <c r="BH17" s="1">
        <f t="shared" si="29"/>
        <v>1.4577259475218485E-2</v>
      </c>
      <c r="BJ17">
        <v>15</v>
      </c>
      <c r="BK17">
        <v>17.956</v>
      </c>
      <c r="BL17">
        <v>2.5310000000000001</v>
      </c>
      <c r="BM17">
        <v>0.34200000000000003</v>
      </c>
      <c r="BN17">
        <f t="shared" si="6"/>
        <v>34.200000000000003</v>
      </c>
      <c r="BO17" s="1">
        <f t="shared" si="30"/>
        <v>-0.10000000000000142</v>
      </c>
      <c r="BP17" s="1">
        <f t="shared" si="31"/>
        <v>1.0000000000000285E-2</v>
      </c>
      <c r="BQ17" s="1">
        <f t="shared" si="32"/>
        <v>-2.9154518950437192E-3</v>
      </c>
      <c r="BS17">
        <v>15</v>
      </c>
      <c r="BT17">
        <v>17.876000000000001</v>
      </c>
      <c r="BU17">
        <v>2.8119999999999998</v>
      </c>
      <c r="BV17">
        <v>0.35299999999999998</v>
      </c>
      <c r="BW17">
        <f t="shared" si="7"/>
        <v>35.299999999999997</v>
      </c>
      <c r="BX17" s="1">
        <f t="shared" si="33"/>
        <v>0.99999999999999289</v>
      </c>
      <c r="BY17" s="1">
        <f t="shared" si="34"/>
        <v>0.99999999999998579</v>
      </c>
      <c r="BZ17" s="1">
        <f t="shared" si="35"/>
        <v>2.9154518950437192E-2</v>
      </c>
      <c r="CB17">
        <v>15</v>
      </c>
      <c r="CC17">
        <v>17.969000000000001</v>
      </c>
      <c r="CD17">
        <v>2.363</v>
      </c>
      <c r="CE17">
        <v>0.32500000000000001</v>
      </c>
      <c r="CF17">
        <f t="shared" si="8"/>
        <v>32.5</v>
      </c>
      <c r="CG17" s="1">
        <f t="shared" si="36"/>
        <v>-1.8000000000000043</v>
      </c>
      <c r="CH17" s="1">
        <f t="shared" si="37"/>
        <v>3.2400000000000153</v>
      </c>
      <c r="CI17" s="1">
        <f t="shared" si="38"/>
        <v>-5.2478134110787278E-2</v>
      </c>
      <c r="CK17">
        <v>15</v>
      </c>
      <c r="CL17">
        <v>17.978000000000002</v>
      </c>
      <c r="CM17">
        <v>2.512</v>
      </c>
      <c r="CN17">
        <v>0.35799999999999998</v>
      </c>
      <c r="CO17">
        <f t="shared" si="9"/>
        <v>35.799999999999997</v>
      </c>
      <c r="CP17" s="1">
        <f t="shared" si="39"/>
        <v>1.4999999999999929</v>
      </c>
      <c r="CQ17" s="1">
        <f t="shared" si="40"/>
        <v>2.2499999999999787</v>
      </c>
      <c r="CR17" s="1">
        <f t="shared" si="41"/>
        <v>4.3731778425655676E-2</v>
      </c>
    </row>
    <row r="18" spans="1:96" x14ac:dyDescent="0.3">
      <c r="A18">
        <v>16.021000000000001</v>
      </c>
      <c r="B18">
        <v>2.8149999999999999</v>
      </c>
      <c r="C18">
        <v>16</v>
      </c>
      <c r="D18">
        <v>0.28199999999999997</v>
      </c>
      <c r="E18">
        <f t="shared" si="10"/>
        <v>28.199999999999996</v>
      </c>
      <c r="F18">
        <f t="shared" si="11"/>
        <v>0.26199999999999996</v>
      </c>
      <c r="G18">
        <v>16</v>
      </c>
      <c r="H18">
        <v>16.088999999999999</v>
      </c>
      <c r="I18">
        <v>2.5219999999999998</v>
      </c>
      <c r="J18">
        <v>0.28799999999999998</v>
      </c>
      <c r="K18">
        <f t="shared" si="0"/>
        <v>28.799999999999997</v>
      </c>
      <c r="L18" s="1">
        <f t="shared" si="12"/>
        <v>0.60000000000000142</v>
      </c>
      <c r="M18" s="1">
        <f t="shared" si="13"/>
        <v>0.36000000000000171</v>
      </c>
      <c r="N18" s="1">
        <f t="shared" si="14"/>
        <v>2.1276595744680993E-2</v>
      </c>
      <c r="O18">
        <v>0.28799999999999998</v>
      </c>
      <c r="Q18">
        <v>16</v>
      </c>
      <c r="R18">
        <v>16.042999999999999</v>
      </c>
      <c r="S18">
        <v>2.59</v>
      </c>
      <c r="T18">
        <v>0.28899999999999998</v>
      </c>
      <c r="U18">
        <f t="shared" si="1"/>
        <v>28.9</v>
      </c>
      <c r="V18" s="1">
        <f t="shared" si="15"/>
        <v>0.70000000000000284</v>
      </c>
      <c r="W18" s="1">
        <f t="shared" si="16"/>
        <v>0.49000000000000399</v>
      </c>
      <c r="X18" s="1">
        <f t="shared" si="17"/>
        <v>2.4822695035461084E-2</v>
      </c>
      <c r="Z18">
        <v>16</v>
      </c>
      <c r="AA18">
        <v>16.05</v>
      </c>
      <c r="AB18">
        <v>2.5369999999999999</v>
      </c>
      <c r="AC18">
        <v>0.32800000000000001</v>
      </c>
      <c r="AD18">
        <f t="shared" si="2"/>
        <v>32.800000000000004</v>
      </c>
      <c r="AE18" s="1">
        <f t="shared" si="18"/>
        <v>4.6000000000000085</v>
      </c>
      <c r="AF18" s="1">
        <f t="shared" si="19"/>
        <v>21.160000000000078</v>
      </c>
      <c r="AG18" s="1">
        <f t="shared" si="20"/>
        <v>0.16312056737588687</v>
      </c>
      <c r="AI18">
        <v>16</v>
      </c>
      <c r="AJ18">
        <v>16.033999999999999</v>
      </c>
      <c r="AK18">
        <v>2.6720000000000002</v>
      </c>
      <c r="AL18">
        <v>0.29399999999999998</v>
      </c>
      <c r="AM18">
        <f t="shared" si="3"/>
        <v>29.4</v>
      </c>
      <c r="AN18" s="1">
        <f t="shared" si="21"/>
        <v>1.2000000000000028</v>
      </c>
      <c r="AO18" s="1">
        <f t="shared" si="22"/>
        <v>1.4400000000000068</v>
      </c>
      <c r="AP18" s="1">
        <f t="shared" si="23"/>
        <v>4.2553191489361764E-2</v>
      </c>
      <c r="AR18">
        <v>16</v>
      </c>
      <c r="AS18">
        <v>16.068999999999999</v>
      </c>
      <c r="AT18">
        <v>2.56</v>
      </c>
      <c r="AU18">
        <v>0.29099999999999998</v>
      </c>
      <c r="AV18">
        <f t="shared" si="4"/>
        <v>29.099999999999998</v>
      </c>
      <c r="AW18" s="1">
        <f t="shared" si="24"/>
        <v>0.90000000000000213</v>
      </c>
      <c r="AX18" s="1">
        <f t="shared" si="25"/>
        <v>0.81000000000000383</v>
      </c>
      <c r="AY18" s="1">
        <f t="shared" si="26"/>
        <v>3.1914893617021267E-2</v>
      </c>
      <c r="BA18">
        <v>16</v>
      </c>
      <c r="BB18">
        <v>16.076000000000001</v>
      </c>
      <c r="BC18">
        <v>2.4329999999999998</v>
      </c>
      <c r="BD18">
        <v>0.28299999999999997</v>
      </c>
      <c r="BE18">
        <f t="shared" si="5"/>
        <v>28.299999999999997</v>
      </c>
      <c r="BF18" s="1">
        <f t="shared" si="27"/>
        <v>0.10000000000000142</v>
      </c>
      <c r="BG18" s="1">
        <f t="shared" si="28"/>
        <v>1.0000000000000285E-2</v>
      </c>
      <c r="BH18" s="1">
        <f t="shared" si="29"/>
        <v>3.5460992907800915E-3</v>
      </c>
      <c r="BJ18">
        <v>16</v>
      </c>
      <c r="BK18">
        <v>16.097000000000001</v>
      </c>
      <c r="BL18">
        <v>2.548</v>
      </c>
      <c r="BM18">
        <v>0.27</v>
      </c>
      <c r="BN18">
        <f t="shared" si="6"/>
        <v>27</v>
      </c>
      <c r="BO18" s="1">
        <f t="shared" si="30"/>
        <v>-1.1999999999999957</v>
      </c>
      <c r="BP18" s="1">
        <f t="shared" si="31"/>
        <v>1.4399999999999897</v>
      </c>
      <c r="BQ18" s="1">
        <f t="shared" si="32"/>
        <v>-4.2553191489361541E-2</v>
      </c>
      <c r="BS18">
        <v>16</v>
      </c>
      <c r="BT18">
        <v>16.016999999999999</v>
      </c>
      <c r="BU18">
        <v>2.786</v>
      </c>
      <c r="BV18">
        <v>0.251</v>
      </c>
      <c r="BW18">
        <f t="shared" si="7"/>
        <v>25.1</v>
      </c>
      <c r="BX18" s="1">
        <f t="shared" si="33"/>
        <v>-3.0999999999999943</v>
      </c>
      <c r="BY18" s="1">
        <f t="shared" si="34"/>
        <v>9.6099999999999639</v>
      </c>
      <c r="BZ18" s="1">
        <f t="shared" si="35"/>
        <v>-0.10992907801418417</v>
      </c>
      <c r="CB18">
        <v>16</v>
      </c>
      <c r="CC18">
        <v>16.053000000000001</v>
      </c>
      <c r="CD18">
        <v>2.4159999999999999</v>
      </c>
      <c r="CE18">
        <v>0.27900000000000003</v>
      </c>
      <c r="CF18">
        <f t="shared" si="8"/>
        <v>27.900000000000002</v>
      </c>
      <c r="CG18" s="1">
        <f t="shared" si="36"/>
        <v>-0.29999999999999361</v>
      </c>
      <c r="CH18" s="1">
        <f t="shared" si="37"/>
        <v>8.9999999999996166E-2</v>
      </c>
      <c r="CI18" s="1">
        <f t="shared" si="38"/>
        <v>-1.0638297872340163E-2</v>
      </c>
      <c r="CK18">
        <v>16</v>
      </c>
      <c r="CL18">
        <v>16.088999999999999</v>
      </c>
      <c r="CM18">
        <v>2.5219999999999998</v>
      </c>
      <c r="CN18">
        <v>0.27500000000000002</v>
      </c>
      <c r="CO18">
        <f t="shared" si="9"/>
        <v>27.500000000000004</v>
      </c>
      <c r="CP18" s="1">
        <f t="shared" si="39"/>
        <v>-0.69999999999999218</v>
      </c>
      <c r="CQ18" s="1">
        <f t="shared" si="40"/>
        <v>0.48999999999998906</v>
      </c>
      <c r="CR18" s="1">
        <f t="shared" si="41"/>
        <v>-2.4822695035460751E-2</v>
      </c>
    </row>
    <row r="19" spans="1:96" x14ac:dyDescent="0.3">
      <c r="A19">
        <v>17.741</v>
      </c>
      <c r="B19">
        <v>6.8840000000000003</v>
      </c>
      <c r="C19">
        <v>17</v>
      </c>
      <c r="D19">
        <v>0.19400000000000001</v>
      </c>
      <c r="E19">
        <f t="shared" si="10"/>
        <v>19.400000000000002</v>
      </c>
      <c r="F19">
        <f t="shared" si="11"/>
        <v>0.17400000000000002</v>
      </c>
      <c r="G19">
        <v>17</v>
      </c>
      <c r="H19">
        <v>17.879000000000001</v>
      </c>
      <c r="I19">
        <v>6.5670000000000002</v>
      </c>
      <c r="J19">
        <v>0.19</v>
      </c>
      <c r="K19">
        <f t="shared" si="0"/>
        <v>19</v>
      </c>
      <c r="L19" s="1">
        <f t="shared" si="12"/>
        <v>-0.40000000000000213</v>
      </c>
      <c r="M19" s="1">
        <f t="shared" si="13"/>
        <v>0.1600000000000017</v>
      </c>
      <c r="N19" s="1">
        <f t="shared" si="14"/>
        <v>-2.0618556701031077E-2</v>
      </c>
      <c r="O19">
        <v>0.19</v>
      </c>
      <c r="Q19">
        <v>17</v>
      </c>
      <c r="R19">
        <v>17.82</v>
      </c>
      <c r="S19">
        <v>6.6159999999999997</v>
      </c>
      <c r="T19">
        <v>0.20599999999999999</v>
      </c>
      <c r="U19">
        <f t="shared" si="1"/>
        <v>20.599999999999998</v>
      </c>
      <c r="V19" s="1">
        <f t="shared" si="15"/>
        <v>1.1999999999999957</v>
      </c>
      <c r="W19" s="1">
        <f t="shared" si="16"/>
        <v>1.4399999999999897</v>
      </c>
      <c r="X19" s="1">
        <f t="shared" si="17"/>
        <v>6.1855670103092564E-2</v>
      </c>
      <c r="Z19">
        <v>17</v>
      </c>
      <c r="AA19">
        <v>17.852</v>
      </c>
      <c r="AB19">
        <v>6.5590000000000002</v>
      </c>
      <c r="AC19">
        <v>0.20899999999999999</v>
      </c>
      <c r="AD19">
        <f t="shared" si="2"/>
        <v>20.9</v>
      </c>
      <c r="AE19" s="1">
        <f t="shared" si="18"/>
        <v>1.4999999999999964</v>
      </c>
      <c r="AF19" s="1">
        <f t="shared" si="19"/>
        <v>2.2499999999999893</v>
      </c>
      <c r="AG19" s="1">
        <f t="shared" si="20"/>
        <v>7.7319587628865705E-2</v>
      </c>
      <c r="AI19">
        <v>17</v>
      </c>
      <c r="AJ19">
        <v>17.8</v>
      </c>
      <c r="AK19">
        <v>6.7089999999999996</v>
      </c>
      <c r="AL19">
        <v>0.21199999999999999</v>
      </c>
      <c r="AM19">
        <f t="shared" si="3"/>
        <v>21.2</v>
      </c>
      <c r="AN19" s="1">
        <f t="shared" si="21"/>
        <v>1.7999999999999972</v>
      </c>
      <c r="AO19" s="1">
        <f t="shared" si="22"/>
        <v>3.2399999999999896</v>
      </c>
      <c r="AP19" s="1">
        <f t="shared" si="23"/>
        <v>9.2783505154639068E-2</v>
      </c>
      <c r="AR19">
        <v>17</v>
      </c>
      <c r="AS19">
        <v>17.838999999999999</v>
      </c>
      <c r="AT19">
        <v>6.5839999999999996</v>
      </c>
      <c r="AU19">
        <v>0.19600000000000001</v>
      </c>
      <c r="AV19">
        <f t="shared" si="4"/>
        <v>19.600000000000001</v>
      </c>
      <c r="AW19" s="1">
        <f t="shared" si="24"/>
        <v>0.19999999999999929</v>
      </c>
      <c r="AX19" s="1">
        <f t="shared" si="25"/>
        <v>3.9999999999999716E-2</v>
      </c>
      <c r="AY19" s="1">
        <f t="shared" si="26"/>
        <v>1.0309278350515427E-2</v>
      </c>
      <c r="BA19">
        <v>17</v>
      </c>
      <c r="BB19">
        <v>17.887</v>
      </c>
      <c r="BC19">
        <v>6.4630000000000001</v>
      </c>
      <c r="BD19">
        <v>0.214</v>
      </c>
      <c r="BE19">
        <f t="shared" si="5"/>
        <v>21.4</v>
      </c>
      <c r="BF19" s="1">
        <f t="shared" si="27"/>
        <v>1.9999999999999964</v>
      </c>
      <c r="BG19" s="1">
        <f t="shared" si="28"/>
        <v>3.9999999999999858</v>
      </c>
      <c r="BH19" s="1">
        <f t="shared" si="29"/>
        <v>0.10309278350515449</v>
      </c>
      <c r="BJ19">
        <v>17</v>
      </c>
      <c r="BK19">
        <v>17.847999999999999</v>
      </c>
      <c r="BL19">
        <v>6.58</v>
      </c>
      <c r="BM19">
        <v>0.19400000000000001</v>
      </c>
      <c r="BN19">
        <f t="shared" si="6"/>
        <v>19.400000000000002</v>
      </c>
      <c r="BO19" s="1">
        <f t="shared" si="30"/>
        <v>0</v>
      </c>
      <c r="BP19" s="1">
        <f t="shared" si="31"/>
        <v>0</v>
      </c>
      <c r="BQ19" s="1">
        <f t="shared" si="32"/>
        <v>0</v>
      </c>
      <c r="BS19">
        <v>17</v>
      </c>
      <c r="BT19">
        <v>17.757000000000001</v>
      </c>
      <c r="BU19">
        <v>6.8230000000000004</v>
      </c>
      <c r="BV19">
        <v>0.222</v>
      </c>
      <c r="BW19">
        <f t="shared" si="7"/>
        <v>22.2</v>
      </c>
      <c r="BX19" s="1">
        <f t="shared" si="33"/>
        <v>2.7999999999999972</v>
      </c>
      <c r="BY19" s="1">
        <f t="shared" si="34"/>
        <v>7.8399999999999839</v>
      </c>
      <c r="BZ19" s="1">
        <f t="shared" si="35"/>
        <v>0.14432989690721643</v>
      </c>
      <c r="CB19">
        <v>17</v>
      </c>
      <c r="CC19">
        <v>17.919</v>
      </c>
      <c r="CD19">
        <v>6.4039999999999999</v>
      </c>
      <c r="CE19">
        <v>0.17599999999999999</v>
      </c>
      <c r="CF19">
        <f t="shared" si="8"/>
        <v>17.599999999999998</v>
      </c>
      <c r="CG19" s="1">
        <f t="shared" si="36"/>
        <v>-1.8000000000000043</v>
      </c>
      <c r="CH19" s="1">
        <f t="shared" si="37"/>
        <v>3.2400000000000153</v>
      </c>
      <c r="CI19" s="1">
        <f t="shared" si="38"/>
        <v>-9.2783505154639401E-2</v>
      </c>
      <c r="CK19">
        <v>17</v>
      </c>
      <c r="CL19">
        <v>17.879000000000001</v>
      </c>
      <c r="CM19">
        <v>6.5670000000000002</v>
      </c>
      <c r="CN19">
        <v>0.219</v>
      </c>
      <c r="CO19">
        <f t="shared" si="9"/>
        <v>21.9</v>
      </c>
      <c r="CP19" s="1">
        <f t="shared" si="39"/>
        <v>2.4999999999999964</v>
      </c>
      <c r="CQ19" s="1">
        <f t="shared" si="40"/>
        <v>6.2499999999999822</v>
      </c>
      <c r="CR19" s="1">
        <f t="shared" si="41"/>
        <v>0.12886597938144306</v>
      </c>
    </row>
    <row r="20" spans="1:96" x14ac:dyDescent="0.3">
      <c r="A20">
        <v>19.684999999999999</v>
      </c>
      <c r="B20">
        <v>6.7370000000000001</v>
      </c>
      <c r="C20">
        <v>18</v>
      </c>
      <c r="D20">
        <v>0.39500000000000002</v>
      </c>
      <c r="E20">
        <f t="shared" si="10"/>
        <v>39.5</v>
      </c>
      <c r="F20">
        <f t="shared" si="11"/>
        <v>0.375</v>
      </c>
      <c r="G20">
        <v>18</v>
      </c>
      <c r="H20">
        <v>19.805</v>
      </c>
      <c r="I20">
        <v>6.3570000000000002</v>
      </c>
      <c r="J20">
        <v>0.379</v>
      </c>
      <c r="K20">
        <f t="shared" si="0"/>
        <v>37.9</v>
      </c>
      <c r="L20" s="1">
        <f t="shared" si="12"/>
        <v>-1.6000000000000014</v>
      </c>
      <c r="M20" s="1">
        <f t="shared" si="13"/>
        <v>2.5600000000000045</v>
      </c>
      <c r="N20" s="1">
        <f t="shared" si="14"/>
        <v>-4.0506329113924044E-2</v>
      </c>
      <c r="O20">
        <v>0.379</v>
      </c>
      <c r="Q20">
        <v>18</v>
      </c>
      <c r="R20">
        <v>19.754000000000001</v>
      </c>
      <c r="S20">
        <v>6.4669999999999996</v>
      </c>
      <c r="T20">
        <v>0.39100000000000001</v>
      </c>
      <c r="U20">
        <f t="shared" si="1"/>
        <v>39.1</v>
      </c>
      <c r="V20" s="1">
        <f t="shared" si="15"/>
        <v>-0.39999999999999858</v>
      </c>
      <c r="W20" s="1">
        <f t="shared" si="16"/>
        <v>0.15999999999999887</v>
      </c>
      <c r="X20" s="1">
        <f t="shared" si="17"/>
        <v>-1.0126582278480956E-2</v>
      </c>
      <c r="Z20">
        <v>18</v>
      </c>
      <c r="AA20">
        <v>19.79</v>
      </c>
      <c r="AB20">
        <v>6.4130000000000003</v>
      </c>
      <c r="AC20">
        <v>0.40799999999999997</v>
      </c>
      <c r="AD20">
        <f t="shared" si="2"/>
        <v>40.799999999999997</v>
      </c>
      <c r="AE20" s="1">
        <f t="shared" si="18"/>
        <v>1.2999999999999972</v>
      </c>
      <c r="AF20" s="1">
        <f t="shared" si="19"/>
        <v>1.6899999999999926</v>
      </c>
      <c r="AG20" s="1">
        <f t="shared" si="20"/>
        <v>3.2911392405063244E-2</v>
      </c>
      <c r="AI20">
        <v>18</v>
      </c>
      <c r="AJ20">
        <v>19.731000000000002</v>
      </c>
      <c r="AK20">
        <v>6.5750000000000002</v>
      </c>
      <c r="AL20">
        <v>0.48799999999999999</v>
      </c>
      <c r="AM20">
        <f t="shared" si="3"/>
        <v>48.8</v>
      </c>
      <c r="AN20" s="1">
        <f t="shared" si="21"/>
        <v>9.2999999999999972</v>
      </c>
      <c r="AO20" s="1">
        <f t="shared" si="22"/>
        <v>86.489999999999952</v>
      </c>
      <c r="AP20" s="1">
        <f t="shared" si="23"/>
        <v>0.23544303797468347</v>
      </c>
      <c r="AR20">
        <v>18</v>
      </c>
      <c r="AS20">
        <v>19.768000000000001</v>
      </c>
      <c r="AT20">
        <v>6.4050000000000002</v>
      </c>
      <c r="AU20">
        <v>0.377</v>
      </c>
      <c r="AV20">
        <f t="shared" si="4"/>
        <v>37.700000000000003</v>
      </c>
      <c r="AW20" s="1">
        <f t="shared" si="24"/>
        <v>-1.7999999999999972</v>
      </c>
      <c r="AX20" s="1">
        <f t="shared" si="25"/>
        <v>3.2399999999999896</v>
      </c>
      <c r="AY20" s="1">
        <f t="shared" si="26"/>
        <v>-4.5569620253164467E-2</v>
      </c>
      <c r="BA20">
        <v>18</v>
      </c>
      <c r="BB20">
        <v>19.827999999999999</v>
      </c>
      <c r="BC20">
        <v>6.2759999999999998</v>
      </c>
      <c r="BD20">
        <v>0.40799999999999997</v>
      </c>
      <c r="BE20">
        <f t="shared" si="5"/>
        <v>40.799999999999997</v>
      </c>
      <c r="BF20" s="1">
        <f t="shared" si="27"/>
        <v>1.2999999999999972</v>
      </c>
      <c r="BG20" s="1">
        <f t="shared" si="28"/>
        <v>1.6899999999999926</v>
      </c>
      <c r="BH20" s="1">
        <f t="shared" si="29"/>
        <v>3.2911392405063244E-2</v>
      </c>
      <c r="BJ20">
        <v>18</v>
      </c>
      <c r="BK20">
        <v>19.795000000000002</v>
      </c>
      <c r="BL20">
        <v>6.3940000000000001</v>
      </c>
      <c r="BM20">
        <v>0.38500000000000001</v>
      </c>
      <c r="BN20">
        <f t="shared" si="6"/>
        <v>38.5</v>
      </c>
      <c r="BO20" s="1">
        <f t="shared" si="30"/>
        <v>-1</v>
      </c>
      <c r="BP20" s="1">
        <f t="shared" si="31"/>
        <v>1</v>
      </c>
      <c r="BQ20" s="1">
        <f t="shared" si="32"/>
        <v>-2.5316455696202556E-2</v>
      </c>
      <c r="BS20">
        <v>18</v>
      </c>
      <c r="BT20">
        <v>19.718</v>
      </c>
      <c r="BU20">
        <v>6.6950000000000003</v>
      </c>
      <c r="BV20">
        <v>0.40400000000000003</v>
      </c>
      <c r="BW20">
        <f t="shared" si="7"/>
        <v>40.400000000000006</v>
      </c>
      <c r="BX20" s="1">
        <f t="shared" si="33"/>
        <v>0.90000000000000568</v>
      </c>
      <c r="BY20" s="1">
        <f t="shared" si="34"/>
        <v>0.81000000000001027</v>
      </c>
      <c r="BZ20" s="1">
        <f t="shared" si="35"/>
        <v>2.27848101265824E-2</v>
      </c>
      <c r="CB20">
        <v>18</v>
      </c>
      <c r="CC20">
        <v>19.844000000000001</v>
      </c>
      <c r="CD20">
        <v>6.218</v>
      </c>
      <c r="CE20">
        <v>0.372</v>
      </c>
      <c r="CF20">
        <f t="shared" si="8"/>
        <v>37.200000000000003</v>
      </c>
      <c r="CG20" s="1">
        <f t="shared" si="36"/>
        <v>-2.2999999999999972</v>
      </c>
      <c r="CH20" s="1">
        <f t="shared" si="37"/>
        <v>5.2899999999999867</v>
      </c>
      <c r="CI20" s="1">
        <f t="shared" si="38"/>
        <v>-5.82278481012658E-2</v>
      </c>
      <c r="CK20">
        <v>18</v>
      </c>
      <c r="CL20">
        <v>19.805</v>
      </c>
      <c r="CM20">
        <v>6.3570000000000002</v>
      </c>
      <c r="CN20">
        <v>0.35099999999999998</v>
      </c>
      <c r="CO20">
        <f t="shared" si="9"/>
        <v>35.099999999999994</v>
      </c>
      <c r="CP20" s="1">
        <f t="shared" si="39"/>
        <v>-4.4000000000000057</v>
      </c>
      <c r="CQ20" s="1">
        <f t="shared" si="40"/>
        <v>19.360000000000049</v>
      </c>
      <c r="CR20" s="1">
        <f t="shared" si="41"/>
        <v>-0.11139240506329129</v>
      </c>
    </row>
    <row r="21" spans="1:96" x14ac:dyDescent="0.3">
      <c r="A21">
        <v>23.576000000000001</v>
      </c>
      <c r="B21">
        <v>8.3870000000000005</v>
      </c>
      <c r="C21">
        <v>19</v>
      </c>
      <c r="D21">
        <v>0.25600000000000001</v>
      </c>
      <c r="E21">
        <f t="shared" si="10"/>
        <v>25.6</v>
      </c>
      <c r="F21">
        <f t="shared" si="11"/>
        <v>0.23600000000000002</v>
      </c>
      <c r="G21">
        <v>19</v>
      </c>
      <c r="H21">
        <v>23.664999999999999</v>
      </c>
      <c r="I21">
        <v>8.032</v>
      </c>
      <c r="J21">
        <v>0.251</v>
      </c>
      <c r="K21">
        <f t="shared" si="0"/>
        <v>25.1</v>
      </c>
      <c r="L21" s="1">
        <f t="shared" si="12"/>
        <v>-0.5</v>
      </c>
      <c r="M21" s="1">
        <f t="shared" si="13"/>
        <v>0.25</v>
      </c>
      <c r="N21" s="1">
        <f t="shared" si="14"/>
        <v>-1.953125E-2</v>
      </c>
      <c r="O21">
        <v>0.251</v>
      </c>
      <c r="Q21">
        <v>19</v>
      </c>
      <c r="R21">
        <v>23.664999999999999</v>
      </c>
      <c r="S21">
        <v>8.032</v>
      </c>
      <c r="T21">
        <v>0.251</v>
      </c>
      <c r="U21">
        <f t="shared" si="1"/>
        <v>25.1</v>
      </c>
      <c r="V21" s="1">
        <f t="shared" si="15"/>
        <v>-0.5</v>
      </c>
      <c r="W21" s="1">
        <f t="shared" si="16"/>
        <v>0.25</v>
      </c>
      <c r="X21" s="1">
        <f t="shared" si="17"/>
        <v>-1.953125E-2</v>
      </c>
      <c r="Z21">
        <v>19</v>
      </c>
      <c r="AA21">
        <v>23.702000000000002</v>
      </c>
      <c r="AB21">
        <v>7.9429999999999996</v>
      </c>
      <c r="AC21">
        <v>0.23599999999999999</v>
      </c>
      <c r="AD21">
        <f t="shared" si="2"/>
        <v>23.599999999999998</v>
      </c>
      <c r="AE21" s="1">
        <f t="shared" si="18"/>
        <v>-2.0000000000000036</v>
      </c>
      <c r="AF21" s="1">
        <f t="shared" si="19"/>
        <v>4.0000000000000142</v>
      </c>
      <c r="AG21" s="1">
        <f t="shared" si="20"/>
        <v>-7.8125000000000111E-2</v>
      </c>
      <c r="AI21">
        <v>19</v>
      </c>
      <c r="AJ21">
        <v>23.638999999999999</v>
      </c>
      <c r="AK21">
        <v>8.1509999999999998</v>
      </c>
      <c r="AL21">
        <v>0.26100000000000001</v>
      </c>
      <c r="AM21">
        <f t="shared" si="3"/>
        <v>26.1</v>
      </c>
      <c r="AN21" s="1">
        <f t="shared" si="21"/>
        <v>0.5</v>
      </c>
      <c r="AO21" s="1">
        <f t="shared" si="22"/>
        <v>0.25</v>
      </c>
      <c r="AP21" s="1">
        <f t="shared" si="23"/>
        <v>1.953125E-2</v>
      </c>
      <c r="AR21">
        <v>19</v>
      </c>
      <c r="AS21">
        <v>23.693000000000001</v>
      </c>
      <c r="AT21">
        <v>7.9690000000000003</v>
      </c>
      <c r="AU21">
        <v>0.23400000000000001</v>
      </c>
      <c r="AV21">
        <f t="shared" si="4"/>
        <v>23.400000000000002</v>
      </c>
      <c r="AW21" s="1">
        <f t="shared" si="24"/>
        <v>-2.1999999999999993</v>
      </c>
      <c r="AX21" s="1">
        <f t="shared" si="25"/>
        <v>4.8399999999999972</v>
      </c>
      <c r="AY21" s="1">
        <f t="shared" si="26"/>
        <v>-8.59375E-2</v>
      </c>
      <c r="BA21">
        <v>19</v>
      </c>
      <c r="BB21">
        <v>23.745999999999999</v>
      </c>
      <c r="BC21">
        <v>7.7960000000000003</v>
      </c>
      <c r="BD21">
        <v>0.253</v>
      </c>
      <c r="BE21">
        <f t="shared" si="5"/>
        <v>25.3</v>
      </c>
      <c r="BF21" s="1">
        <f t="shared" si="27"/>
        <v>-0.30000000000000071</v>
      </c>
      <c r="BG21" s="1">
        <f t="shared" si="28"/>
        <v>9.0000000000000427E-2</v>
      </c>
      <c r="BH21" s="1">
        <f t="shared" si="29"/>
        <v>-1.171875E-2</v>
      </c>
      <c r="BJ21">
        <v>19</v>
      </c>
      <c r="BK21">
        <v>23.681000000000001</v>
      </c>
      <c r="BL21">
        <v>7.9690000000000003</v>
      </c>
      <c r="BM21">
        <v>0.23499999999999999</v>
      </c>
      <c r="BN21">
        <f t="shared" si="6"/>
        <v>23.5</v>
      </c>
      <c r="BO21" s="1">
        <f t="shared" si="30"/>
        <v>-2.1000000000000014</v>
      </c>
      <c r="BP21" s="1">
        <f t="shared" si="31"/>
        <v>4.4100000000000064</v>
      </c>
      <c r="BQ21" s="1">
        <f t="shared" si="32"/>
        <v>-8.203125E-2</v>
      </c>
      <c r="BS21">
        <v>19</v>
      </c>
      <c r="BT21">
        <v>23.574999999999999</v>
      </c>
      <c r="BU21">
        <v>8.2899999999999991</v>
      </c>
      <c r="BV21">
        <v>0.29599999999999999</v>
      </c>
      <c r="BW21">
        <f t="shared" si="7"/>
        <v>29.599999999999998</v>
      </c>
      <c r="BX21" s="1">
        <f t="shared" si="33"/>
        <v>3.9999999999999964</v>
      </c>
      <c r="BY21" s="1">
        <f t="shared" si="34"/>
        <v>15.999999999999972</v>
      </c>
      <c r="BZ21" s="1">
        <f t="shared" si="35"/>
        <v>0.15624999999999978</v>
      </c>
      <c r="CB21">
        <v>19</v>
      </c>
      <c r="CC21">
        <v>23.800999999999998</v>
      </c>
      <c r="CD21">
        <v>7.766</v>
      </c>
      <c r="CE21">
        <v>0.23200000000000001</v>
      </c>
      <c r="CF21">
        <f t="shared" si="8"/>
        <v>23.200000000000003</v>
      </c>
      <c r="CG21" s="1">
        <f t="shared" si="36"/>
        <v>-2.3999999999999986</v>
      </c>
      <c r="CH21" s="1">
        <f t="shared" si="37"/>
        <v>5.7599999999999936</v>
      </c>
      <c r="CI21" s="1">
        <f t="shared" si="38"/>
        <v>-9.3749999999999889E-2</v>
      </c>
      <c r="CK21">
        <v>19</v>
      </c>
      <c r="CL21">
        <v>23.768000000000001</v>
      </c>
      <c r="CM21">
        <v>7.9870000000000001</v>
      </c>
      <c r="CN21">
        <v>0.32</v>
      </c>
      <c r="CO21">
        <f t="shared" si="9"/>
        <v>32</v>
      </c>
      <c r="CP21" s="1">
        <f t="shared" si="39"/>
        <v>6.3999999999999986</v>
      </c>
      <c r="CQ21" s="1">
        <f t="shared" si="40"/>
        <v>40.95999999999998</v>
      </c>
      <c r="CR21" s="1">
        <f t="shared" si="41"/>
        <v>0.25</v>
      </c>
    </row>
    <row r="22" spans="1:96" x14ac:dyDescent="0.3">
      <c r="A22">
        <v>25.701000000000001</v>
      </c>
      <c r="B22">
        <v>6.4379999999999997</v>
      </c>
      <c r="C22">
        <v>20</v>
      </c>
      <c r="D22">
        <v>0.32200000000000001</v>
      </c>
      <c r="E22">
        <f t="shared" si="10"/>
        <v>32.200000000000003</v>
      </c>
      <c r="F22">
        <f t="shared" si="11"/>
        <v>0.30199999999999999</v>
      </c>
      <c r="G22">
        <v>20</v>
      </c>
      <c r="H22">
        <v>25.821000000000002</v>
      </c>
      <c r="I22">
        <v>5.9859999999999998</v>
      </c>
      <c r="J22">
        <v>0.32300000000000001</v>
      </c>
      <c r="K22">
        <f t="shared" si="0"/>
        <v>32.300000000000004</v>
      </c>
      <c r="L22" s="1">
        <f t="shared" si="12"/>
        <v>0.10000000000000142</v>
      </c>
      <c r="M22" s="1">
        <f t="shared" si="13"/>
        <v>1.0000000000000285E-2</v>
      </c>
      <c r="N22" s="1">
        <f t="shared" si="14"/>
        <v>3.1055900621117516E-3</v>
      </c>
      <c r="O22">
        <v>0.32300000000000001</v>
      </c>
      <c r="Q22">
        <v>20</v>
      </c>
      <c r="R22">
        <v>25.766999999999999</v>
      </c>
      <c r="S22">
        <v>6.0570000000000004</v>
      </c>
      <c r="T22">
        <v>0.312</v>
      </c>
      <c r="U22">
        <f t="shared" si="1"/>
        <v>31.2</v>
      </c>
      <c r="V22" s="1">
        <f t="shared" si="15"/>
        <v>-1.0000000000000036</v>
      </c>
      <c r="W22" s="1">
        <f t="shared" si="16"/>
        <v>1.0000000000000071</v>
      </c>
      <c r="X22" s="1">
        <f t="shared" si="17"/>
        <v>-3.1055900621118071E-2</v>
      </c>
      <c r="Z22">
        <v>20</v>
      </c>
      <c r="AA22">
        <v>25.800999999999998</v>
      </c>
      <c r="AB22">
        <v>5.9580000000000002</v>
      </c>
      <c r="AC22">
        <v>0.28799999999999998</v>
      </c>
      <c r="AD22">
        <f t="shared" ref="AD22:AD43" si="42">AC22*100</f>
        <v>28.799999999999997</v>
      </c>
      <c r="AE22" s="1">
        <f t="shared" si="18"/>
        <v>-3.4000000000000057</v>
      </c>
      <c r="AF22" s="1">
        <f t="shared" si="19"/>
        <v>11.560000000000038</v>
      </c>
      <c r="AG22" s="1">
        <f t="shared" si="20"/>
        <v>-0.10559006211180144</v>
      </c>
      <c r="AI22">
        <v>20</v>
      </c>
      <c r="AJ22">
        <v>25.74</v>
      </c>
      <c r="AK22">
        <v>6.19</v>
      </c>
      <c r="AL22">
        <v>0.314</v>
      </c>
      <c r="AM22">
        <f t="shared" si="3"/>
        <v>31.4</v>
      </c>
      <c r="AN22" s="1">
        <f t="shared" si="21"/>
        <v>-0.80000000000000426</v>
      </c>
      <c r="AO22" s="1">
        <f t="shared" si="22"/>
        <v>0.64000000000000679</v>
      </c>
      <c r="AP22" s="1">
        <f t="shared" si="23"/>
        <v>-2.4844720496894568E-2</v>
      </c>
      <c r="AR22">
        <v>20</v>
      </c>
      <c r="AS22">
        <v>25.774999999999999</v>
      </c>
      <c r="AT22">
        <v>5.9880000000000004</v>
      </c>
      <c r="AU22">
        <v>0.33500000000000002</v>
      </c>
      <c r="AV22">
        <f t="shared" si="4"/>
        <v>33.5</v>
      </c>
      <c r="AW22" s="1">
        <f t="shared" si="24"/>
        <v>1.2999999999999972</v>
      </c>
      <c r="AX22" s="1">
        <f t="shared" si="25"/>
        <v>1.6899999999999926</v>
      </c>
      <c r="AY22" s="1">
        <f t="shared" si="26"/>
        <v>4.0372670807453215E-2</v>
      </c>
      <c r="BA22">
        <v>20</v>
      </c>
      <c r="BB22">
        <v>25.841000000000001</v>
      </c>
      <c r="BC22">
        <v>5.8259999999999996</v>
      </c>
      <c r="BD22">
        <v>0.376</v>
      </c>
      <c r="BE22">
        <f t="shared" si="5"/>
        <v>37.6</v>
      </c>
      <c r="BF22" s="1">
        <f t="shared" si="27"/>
        <v>5.3999999999999986</v>
      </c>
      <c r="BG22" s="1">
        <f t="shared" si="28"/>
        <v>29.159999999999986</v>
      </c>
      <c r="BH22" s="1">
        <f t="shared" si="29"/>
        <v>0.16770186335403725</v>
      </c>
      <c r="BJ22">
        <v>20</v>
      </c>
      <c r="BK22">
        <v>25.802</v>
      </c>
      <c r="BL22">
        <v>5.9930000000000003</v>
      </c>
      <c r="BM22">
        <v>0.35399999999999998</v>
      </c>
      <c r="BN22">
        <f t="shared" si="6"/>
        <v>35.4</v>
      </c>
      <c r="BO22" s="1">
        <f t="shared" si="30"/>
        <v>3.1999999999999957</v>
      </c>
      <c r="BP22" s="1">
        <f t="shared" si="31"/>
        <v>10.239999999999974</v>
      </c>
      <c r="BQ22" s="1">
        <f t="shared" si="32"/>
        <v>9.9378881987577605E-2</v>
      </c>
      <c r="BS22">
        <v>20</v>
      </c>
      <c r="BT22">
        <v>25.658999999999999</v>
      </c>
      <c r="BU22">
        <v>6.3579999999999997</v>
      </c>
      <c r="BV22">
        <v>0.32100000000000001</v>
      </c>
      <c r="BW22">
        <f t="shared" si="7"/>
        <v>32.1</v>
      </c>
      <c r="BX22" s="1">
        <f t="shared" si="33"/>
        <v>-0.10000000000000142</v>
      </c>
      <c r="BY22" s="1">
        <f t="shared" si="34"/>
        <v>1.0000000000000285E-2</v>
      </c>
      <c r="BZ22" s="1">
        <f t="shared" si="35"/>
        <v>-3.1055900621118626E-3</v>
      </c>
      <c r="CB22">
        <v>20</v>
      </c>
      <c r="CC22">
        <v>25.869</v>
      </c>
      <c r="CD22">
        <v>5.7629999999999999</v>
      </c>
      <c r="CE22">
        <v>0.26600000000000001</v>
      </c>
      <c r="CF22">
        <f t="shared" si="8"/>
        <v>26.6</v>
      </c>
      <c r="CG22" s="1">
        <f t="shared" si="36"/>
        <v>-5.6000000000000014</v>
      </c>
      <c r="CH22" s="1">
        <f t="shared" si="37"/>
        <v>31.360000000000017</v>
      </c>
      <c r="CI22" s="1">
        <f t="shared" si="38"/>
        <v>-0.17391304347826086</v>
      </c>
      <c r="CK22">
        <v>20</v>
      </c>
      <c r="CL22">
        <v>25.821000000000002</v>
      </c>
      <c r="CM22">
        <v>5.9859999999999998</v>
      </c>
      <c r="CN22">
        <v>0.27500000000000002</v>
      </c>
      <c r="CO22">
        <f t="shared" si="9"/>
        <v>27.500000000000004</v>
      </c>
      <c r="CP22" s="1">
        <f t="shared" si="39"/>
        <v>-4.6999999999999993</v>
      </c>
      <c r="CQ22" s="1">
        <f t="shared" si="40"/>
        <v>22.089999999999993</v>
      </c>
      <c r="CR22" s="1">
        <f t="shared" si="41"/>
        <v>-0.14596273291925466</v>
      </c>
    </row>
    <row r="23" spans="1:96" x14ac:dyDescent="0.3">
      <c r="A23">
        <v>1.5940000000000001</v>
      </c>
      <c r="B23">
        <v>9.4529999999999994</v>
      </c>
      <c r="C23">
        <v>21</v>
      </c>
      <c r="D23">
        <v>7.0000000000000007E-2</v>
      </c>
      <c r="E23">
        <f t="shared" si="10"/>
        <v>7.0000000000000009</v>
      </c>
      <c r="F23">
        <f t="shared" si="11"/>
        <v>0.05</v>
      </c>
      <c r="G23">
        <v>21</v>
      </c>
      <c r="H23">
        <v>1.79</v>
      </c>
      <c r="I23">
        <v>9.4380000000000006</v>
      </c>
      <c r="J23">
        <v>6.6000000000000003E-2</v>
      </c>
      <c r="K23">
        <f t="shared" si="0"/>
        <v>6.6000000000000005</v>
      </c>
      <c r="L23" s="1">
        <f t="shared" si="12"/>
        <v>-0.40000000000000036</v>
      </c>
      <c r="M23" s="1">
        <f t="shared" si="13"/>
        <v>0.16000000000000028</v>
      </c>
      <c r="N23" s="1">
        <f t="shared" si="14"/>
        <v>-5.7142857142857162E-2</v>
      </c>
      <c r="O23">
        <v>6.6000000000000003E-2</v>
      </c>
      <c r="Q23">
        <v>21</v>
      </c>
      <c r="R23">
        <v>1.74</v>
      </c>
      <c r="S23">
        <v>9.4329999999999998</v>
      </c>
      <c r="T23">
        <v>7.0999999999999994E-2</v>
      </c>
      <c r="U23">
        <f t="shared" si="1"/>
        <v>7.1</v>
      </c>
      <c r="V23" s="1">
        <f t="shared" si="15"/>
        <v>9.9999999999998757E-2</v>
      </c>
      <c r="W23" s="1">
        <f t="shared" si="16"/>
        <v>9.9999999999997521E-3</v>
      </c>
      <c r="X23" s="1">
        <f t="shared" si="17"/>
        <v>1.4285714285714013E-2</v>
      </c>
      <c r="Z23">
        <v>21</v>
      </c>
      <c r="AA23">
        <v>1.7729999999999999</v>
      </c>
      <c r="AB23">
        <v>9.4220000000000006</v>
      </c>
      <c r="AC23">
        <v>6.5000000000000002E-2</v>
      </c>
      <c r="AD23">
        <f t="shared" si="42"/>
        <v>6.5</v>
      </c>
      <c r="AE23" s="1">
        <f t="shared" si="18"/>
        <v>-0.50000000000000089</v>
      </c>
      <c r="AF23" s="1">
        <f t="shared" si="19"/>
        <v>0.25000000000000089</v>
      </c>
      <c r="AG23" s="1">
        <f t="shared" si="20"/>
        <v>-7.1428571428571508E-2</v>
      </c>
      <c r="AI23">
        <v>21</v>
      </c>
      <c r="AJ23">
        <v>1.6819999999999999</v>
      </c>
      <c r="AK23">
        <v>9.4350000000000005</v>
      </c>
      <c r="AL23">
        <v>6.9000000000000006E-2</v>
      </c>
      <c r="AM23">
        <f t="shared" si="3"/>
        <v>6.9</v>
      </c>
      <c r="AN23" s="1">
        <f t="shared" si="21"/>
        <v>-0.10000000000000053</v>
      </c>
      <c r="AO23" s="1">
        <f t="shared" si="22"/>
        <v>1.0000000000000106E-2</v>
      </c>
      <c r="AP23" s="1">
        <f t="shared" si="23"/>
        <v>-1.4285714285714346E-2</v>
      </c>
      <c r="AR23">
        <v>21</v>
      </c>
      <c r="AS23">
        <v>1.768</v>
      </c>
      <c r="AT23">
        <v>9.4149999999999991</v>
      </c>
      <c r="AU23">
        <v>7.3999999999999996E-2</v>
      </c>
      <c r="AV23">
        <f t="shared" si="4"/>
        <v>7.3999999999999995</v>
      </c>
      <c r="AW23" s="1">
        <f t="shared" si="24"/>
        <v>0.39999999999999858</v>
      </c>
      <c r="AX23" s="1">
        <f t="shared" si="25"/>
        <v>0.15999999999999887</v>
      </c>
      <c r="AY23" s="1">
        <f t="shared" si="26"/>
        <v>5.714285714285694E-2</v>
      </c>
      <c r="BA23">
        <v>21</v>
      </c>
      <c r="BB23">
        <v>1.829</v>
      </c>
      <c r="BC23">
        <v>9.4160000000000004</v>
      </c>
      <c r="BD23">
        <v>6.2E-2</v>
      </c>
      <c r="BE23">
        <f t="shared" si="5"/>
        <v>6.2</v>
      </c>
      <c r="BF23" s="1">
        <f t="shared" si="27"/>
        <v>-0.80000000000000071</v>
      </c>
      <c r="BG23" s="1">
        <f t="shared" si="28"/>
        <v>0.64000000000000112</v>
      </c>
      <c r="BH23" s="1">
        <f t="shared" si="29"/>
        <v>-0.11428571428571432</v>
      </c>
      <c r="BJ23">
        <v>21</v>
      </c>
      <c r="BK23">
        <v>1.756</v>
      </c>
      <c r="BL23">
        <v>9.423</v>
      </c>
      <c r="BM23">
        <v>5.8000000000000003E-2</v>
      </c>
      <c r="BN23">
        <f t="shared" si="6"/>
        <v>5.8000000000000007</v>
      </c>
      <c r="BO23" s="1">
        <f t="shared" si="30"/>
        <v>-1.2000000000000002</v>
      </c>
      <c r="BP23" s="1">
        <f t="shared" si="31"/>
        <v>1.4400000000000004</v>
      </c>
      <c r="BQ23" s="1">
        <f t="shared" si="32"/>
        <v>-0.17142857142857149</v>
      </c>
      <c r="BS23">
        <v>21</v>
      </c>
      <c r="BT23">
        <v>1.63</v>
      </c>
      <c r="BU23">
        <v>9.4440000000000008</v>
      </c>
      <c r="BV23">
        <v>6.8000000000000005E-2</v>
      </c>
      <c r="BW23">
        <f t="shared" si="7"/>
        <v>6.8000000000000007</v>
      </c>
      <c r="BX23" s="1">
        <f t="shared" si="33"/>
        <v>-0.20000000000000018</v>
      </c>
      <c r="BY23" s="1">
        <f t="shared" si="34"/>
        <v>4.000000000000007E-2</v>
      </c>
      <c r="BZ23" s="1">
        <f t="shared" si="35"/>
        <v>-2.8571428571428581E-2</v>
      </c>
      <c r="CB23">
        <v>21</v>
      </c>
      <c r="CC23">
        <v>1.8580000000000001</v>
      </c>
      <c r="CD23">
        <v>9.4039999999999999</v>
      </c>
      <c r="CE23">
        <v>6.9000000000000006E-2</v>
      </c>
      <c r="CF23">
        <f t="shared" si="8"/>
        <v>6.9</v>
      </c>
      <c r="CG23" s="1">
        <f t="shared" si="36"/>
        <v>-0.10000000000000053</v>
      </c>
      <c r="CH23" s="1">
        <f t="shared" si="37"/>
        <v>1.0000000000000106E-2</v>
      </c>
      <c r="CI23" s="1">
        <f t="shared" si="38"/>
        <v>-1.4285714285714346E-2</v>
      </c>
      <c r="CK23">
        <v>21</v>
      </c>
      <c r="CL23">
        <v>1.79</v>
      </c>
      <c r="CM23">
        <v>9.4380000000000006</v>
      </c>
      <c r="CN23">
        <v>6.6000000000000003E-2</v>
      </c>
      <c r="CO23">
        <f t="shared" si="9"/>
        <v>6.6000000000000005</v>
      </c>
      <c r="CP23" s="1">
        <f t="shared" si="39"/>
        <v>-0.40000000000000036</v>
      </c>
      <c r="CQ23" s="1">
        <f t="shared" si="40"/>
        <v>0.16000000000000028</v>
      </c>
      <c r="CR23" s="1">
        <f t="shared" si="41"/>
        <v>-5.7142857142857162E-2</v>
      </c>
    </row>
    <row r="24" spans="1:96" x14ac:dyDescent="0.3">
      <c r="A24">
        <v>9.7989999999999995</v>
      </c>
      <c r="B24">
        <v>10.991</v>
      </c>
      <c r="C24">
        <v>22</v>
      </c>
      <c r="D24">
        <v>0.32100000000000001</v>
      </c>
      <c r="E24">
        <f t="shared" si="10"/>
        <v>32.1</v>
      </c>
      <c r="F24">
        <f t="shared" si="11"/>
        <v>0.30099999999999999</v>
      </c>
      <c r="G24">
        <v>22</v>
      </c>
      <c r="H24">
        <v>10.013</v>
      </c>
      <c r="I24">
        <v>10.803000000000001</v>
      </c>
      <c r="J24">
        <v>0.318</v>
      </c>
      <c r="K24">
        <f t="shared" si="0"/>
        <v>31.8</v>
      </c>
      <c r="L24" s="1">
        <f t="shared" si="12"/>
        <v>-0.30000000000000071</v>
      </c>
      <c r="M24" s="1">
        <f t="shared" si="13"/>
        <v>9.0000000000000427E-2</v>
      </c>
      <c r="N24" s="1">
        <f t="shared" si="14"/>
        <v>-9.3457943925233655E-3</v>
      </c>
      <c r="O24">
        <v>0.318</v>
      </c>
      <c r="Q24">
        <v>22</v>
      </c>
      <c r="R24">
        <v>9.9489999999999998</v>
      </c>
      <c r="S24">
        <v>10.849</v>
      </c>
      <c r="T24">
        <v>0.34300000000000003</v>
      </c>
      <c r="U24">
        <f t="shared" si="1"/>
        <v>34.300000000000004</v>
      </c>
      <c r="V24" s="1">
        <f t="shared" si="15"/>
        <v>2.2000000000000028</v>
      </c>
      <c r="W24" s="1">
        <f t="shared" si="16"/>
        <v>4.8400000000000123</v>
      </c>
      <c r="X24" s="1">
        <f t="shared" si="17"/>
        <v>6.8535825545171347E-2</v>
      </c>
      <c r="Z24">
        <v>22</v>
      </c>
      <c r="AA24">
        <v>9.9969999999999999</v>
      </c>
      <c r="AB24">
        <v>10.816000000000001</v>
      </c>
      <c r="AC24">
        <v>0.32100000000000001</v>
      </c>
      <c r="AD24">
        <f t="shared" si="42"/>
        <v>32.1</v>
      </c>
      <c r="AE24" s="1">
        <f t="shared" si="18"/>
        <v>0</v>
      </c>
      <c r="AF24" s="1">
        <f t="shared" si="19"/>
        <v>0</v>
      </c>
      <c r="AG24" s="1">
        <f t="shared" si="20"/>
        <v>0</v>
      </c>
      <c r="AI24">
        <v>22</v>
      </c>
      <c r="AJ24">
        <v>9.9019999999999992</v>
      </c>
      <c r="AK24">
        <v>10.896000000000001</v>
      </c>
      <c r="AL24">
        <v>0.32</v>
      </c>
      <c r="AM24">
        <f t="shared" si="3"/>
        <v>32</v>
      </c>
      <c r="AN24" s="1">
        <f t="shared" si="21"/>
        <v>-0.10000000000000142</v>
      </c>
      <c r="AO24" s="1">
        <f t="shared" si="22"/>
        <v>1.0000000000000285E-2</v>
      </c>
      <c r="AP24" s="1">
        <f t="shared" si="23"/>
        <v>-3.1152647975077885E-3</v>
      </c>
      <c r="AR24">
        <v>22</v>
      </c>
      <c r="AS24">
        <v>9.984</v>
      </c>
      <c r="AT24">
        <v>10.819000000000001</v>
      </c>
      <c r="AU24">
        <v>0.311</v>
      </c>
      <c r="AV24">
        <f t="shared" si="4"/>
        <v>31.1</v>
      </c>
      <c r="AW24" s="1">
        <f t="shared" si="24"/>
        <v>-1</v>
      </c>
      <c r="AX24" s="1">
        <f t="shared" si="25"/>
        <v>1</v>
      </c>
      <c r="AY24" s="1">
        <f t="shared" si="26"/>
        <v>-3.1152647975077885E-2</v>
      </c>
      <c r="BA24">
        <v>22</v>
      </c>
      <c r="BB24">
        <v>10.042999999999999</v>
      </c>
      <c r="BC24">
        <v>10.927</v>
      </c>
      <c r="BD24">
        <v>0.35199999999999998</v>
      </c>
      <c r="BE24">
        <f t="shared" si="5"/>
        <v>35.199999999999996</v>
      </c>
      <c r="BF24" s="1">
        <f t="shared" si="27"/>
        <v>3.0999999999999943</v>
      </c>
      <c r="BG24" s="1">
        <f t="shared" si="28"/>
        <v>9.6099999999999639</v>
      </c>
      <c r="BH24" s="1">
        <f t="shared" si="29"/>
        <v>9.6573208722741333E-2</v>
      </c>
      <c r="BJ24">
        <v>22</v>
      </c>
      <c r="BK24">
        <v>10</v>
      </c>
      <c r="BL24">
        <v>10.816000000000001</v>
      </c>
      <c r="BM24">
        <v>0.32600000000000001</v>
      </c>
      <c r="BN24">
        <f t="shared" si="6"/>
        <v>32.6</v>
      </c>
      <c r="BO24" s="1">
        <f t="shared" si="30"/>
        <v>0.5</v>
      </c>
      <c r="BP24" s="1">
        <f t="shared" si="31"/>
        <v>0.25</v>
      </c>
      <c r="BQ24" s="1">
        <f t="shared" si="32"/>
        <v>1.5576323987538832E-2</v>
      </c>
      <c r="BS24">
        <v>22</v>
      </c>
      <c r="BT24">
        <v>9.8350000000000009</v>
      </c>
      <c r="BU24">
        <v>10.951000000000001</v>
      </c>
      <c r="BV24">
        <v>0.33200000000000002</v>
      </c>
      <c r="BW24">
        <f t="shared" si="7"/>
        <v>33.200000000000003</v>
      </c>
      <c r="BX24" s="1">
        <f t="shared" si="33"/>
        <v>1.1000000000000014</v>
      </c>
      <c r="BY24" s="1">
        <f t="shared" si="34"/>
        <v>1.2100000000000031</v>
      </c>
      <c r="BZ24" s="1">
        <f t="shared" si="35"/>
        <v>3.4267912772585785E-2</v>
      </c>
      <c r="CB24">
        <v>22</v>
      </c>
      <c r="CC24">
        <v>10.092000000000001</v>
      </c>
      <c r="CD24">
        <v>10.707000000000001</v>
      </c>
      <c r="CE24">
        <v>0.32600000000000001</v>
      </c>
      <c r="CF24">
        <f t="shared" si="8"/>
        <v>32.6</v>
      </c>
      <c r="CG24" s="1">
        <f t="shared" si="36"/>
        <v>0.5</v>
      </c>
      <c r="CH24" s="1">
        <f t="shared" si="37"/>
        <v>0.25</v>
      </c>
      <c r="CI24" s="1">
        <f t="shared" si="38"/>
        <v>1.5576323987538832E-2</v>
      </c>
      <c r="CK24">
        <v>22</v>
      </c>
      <c r="CL24">
        <v>10.013</v>
      </c>
      <c r="CM24">
        <v>10.803000000000001</v>
      </c>
      <c r="CN24">
        <v>0.32400000000000001</v>
      </c>
      <c r="CO24">
        <f t="shared" si="9"/>
        <v>32.4</v>
      </c>
      <c r="CP24" s="1">
        <f t="shared" si="39"/>
        <v>0.29999999999999716</v>
      </c>
      <c r="CQ24" s="1">
        <f t="shared" si="40"/>
        <v>8.999999999999829E-2</v>
      </c>
      <c r="CR24" s="1">
        <f t="shared" si="41"/>
        <v>9.3457943925232545E-3</v>
      </c>
    </row>
    <row r="25" spans="1:96" x14ac:dyDescent="0.3">
      <c r="A25">
        <v>7.6749999999999998</v>
      </c>
      <c r="B25">
        <v>8.9749999999999996</v>
      </c>
      <c r="C25">
        <v>23</v>
      </c>
      <c r="D25">
        <v>0.23400000000000001</v>
      </c>
      <c r="E25">
        <f t="shared" si="10"/>
        <v>23.400000000000002</v>
      </c>
      <c r="F25">
        <f t="shared" si="11"/>
        <v>0.21400000000000002</v>
      </c>
      <c r="G25">
        <v>23</v>
      </c>
      <c r="H25">
        <v>7.8529999999999998</v>
      </c>
      <c r="I25">
        <v>8.8249999999999993</v>
      </c>
      <c r="J25">
        <v>0.23699999999999999</v>
      </c>
      <c r="K25">
        <f t="shared" si="0"/>
        <v>23.7</v>
      </c>
      <c r="L25" s="1">
        <f t="shared" si="12"/>
        <v>0.29999999999999716</v>
      </c>
      <c r="M25" s="1">
        <f t="shared" si="13"/>
        <v>8.999999999999829E-2</v>
      </c>
      <c r="N25" s="1">
        <f t="shared" si="14"/>
        <v>1.2820512820512775E-2</v>
      </c>
      <c r="O25">
        <v>0.23699999999999999</v>
      </c>
      <c r="Q25">
        <v>23</v>
      </c>
      <c r="R25">
        <v>7.8</v>
      </c>
      <c r="S25">
        <v>8.8629999999999995</v>
      </c>
      <c r="T25">
        <v>0.251</v>
      </c>
      <c r="U25">
        <f t="shared" si="1"/>
        <v>25.1</v>
      </c>
      <c r="V25" s="1">
        <f t="shared" si="15"/>
        <v>1.6999999999999993</v>
      </c>
      <c r="W25" s="1">
        <f t="shared" si="16"/>
        <v>2.8899999999999975</v>
      </c>
      <c r="X25" s="1">
        <f t="shared" si="17"/>
        <v>7.2649572649572614E-2</v>
      </c>
      <c r="Z25">
        <v>23</v>
      </c>
      <c r="AA25">
        <v>7.8319999999999999</v>
      </c>
      <c r="AB25">
        <v>8.8309999999999995</v>
      </c>
      <c r="AC25">
        <v>0.245</v>
      </c>
      <c r="AD25">
        <f t="shared" si="42"/>
        <v>24.5</v>
      </c>
      <c r="AE25" s="1">
        <f t="shared" si="18"/>
        <v>1.0999999999999979</v>
      </c>
      <c r="AF25" s="1">
        <f t="shared" si="19"/>
        <v>1.2099999999999953</v>
      </c>
      <c r="AG25" s="1">
        <f t="shared" si="20"/>
        <v>4.7008547008546842E-2</v>
      </c>
      <c r="AI25">
        <v>23</v>
      </c>
      <c r="AJ25">
        <v>7.7539999999999996</v>
      </c>
      <c r="AK25">
        <v>8.8960000000000008</v>
      </c>
      <c r="AL25">
        <v>0.23699999999999999</v>
      </c>
      <c r="AM25">
        <f t="shared" si="3"/>
        <v>23.7</v>
      </c>
      <c r="AN25" s="1">
        <f t="shared" si="21"/>
        <v>0.29999999999999716</v>
      </c>
      <c r="AO25" s="1">
        <f t="shared" si="22"/>
        <v>8.999999999999829E-2</v>
      </c>
      <c r="AP25" s="1">
        <f t="shared" si="23"/>
        <v>1.2820512820512775E-2</v>
      </c>
      <c r="AR25">
        <v>23</v>
      </c>
      <c r="AS25">
        <v>7.8179999999999996</v>
      </c>
      <c r="AT25">
        <v>8.8339999999999996</v>
      </c>
      <c r="AU25">
        <v>0.23799999999999999</v>
      </c>
      <c r="AV25">
        <f t="shared" si="4"/>
        <v>23.799999999999997</v>
      </c>
      <c r="AW25" s="1">
        <f t="shared" si="24"/>
        <v>0.39999999999999503</v>
      </c>
      <c r="AX25" s="1">
        <f t="shared" si="25"/>
        <v>0.15999999999999603</v>
      </c>
      <c r="AY25" s="1">
        <f t="shared" si="26"/>
        <v>1.7094017094016811E-2</v>
      </c>
      <c r="BA25">
        <v>23</v>
      </c>
      <c r="BB25">
        <v>7.891</v>
      </c>
      <c r="BC25">
        <v>8.7780000000000005</v>
      </c>
      <c r="BD25">
        <v>0.23200000000000001</v>
      </c>
      <c r="BE25">
        <f t="shared" si="5"/>
        <v>23.200000000000003</v>
      </c>
      <c r="BF25" s="1">
        <f t="shared" si="27"/>
        <v>-0.19999999999999929</v>
      </c>
      <c r="BG25" s="1">
        <f t="shared" si="28"/>
        <v>3.9999999999999716E-2</v>
      </c>
      <c r="BH25" s="1">
        <f t="shared" si="29"/>
        <v>-8.5470085470085166E-3</v>
      </c>
      <c r="BJ25">
        <v>23</v>
      </c>
      <c r="BK25">
        <v>7.8529999999999998</v>
      </c>
      <c r="BL25">
        <v>8.8469999999999995</v>
      </c>
      <c r="BM25">
        <v>0.23899999999999999</v>
      </c>
      <c r="BN25">
        <f t="shared" si="6"/>
        <v>23.9</v>
      </c>
      <c r="BO25" s="1">
        <f t="shared" si="30"/>
        <v>0.49999999999999645</v>
      </c>
      <c r="BP25" s="1">
        <f t="shared" si="31"/>
        <v>0.24999999999999645</v>
      </c>
      <c r="BQ25" s="1">
        <f t="shared" si="32"/>
        <v>2.1367521367521292E-2</v>
      </c>
      <c r="BS25">
        <v>23</v>
      </c>
      <c r="BT25">
        <v>7.7050000000000001</v>
      </c>
      <c r="BU25">
        <v>8.9410000000000007</v>
      </c>
      <c r="BV25">
        <v>0.253</v>
      </c>
      <c r="BW25">
        <f t="shared" si="7"/>
        <v>25.3</v>
      </c>
      <c r="BX25" s="1">
        <f t="shared" si="33"/>
        <v>1.8999999999999986</v>
      </c>
      <c r="BY25" s="1">
        <f t="shared" si="34"/>
        <v>3.6099999999999945</v>
      </c>
      <c r="BZ25" s="1">
        <f t="shared" si="35"/>
        <v>8.119658119658113E-2</v>
      </c>
      <c r="CB25">
        <v>23</v>
      </c>
      <c r="CC25">
        <v>7.9089999999999998</v>
      </c>
      <c r="CD25">
        <v>8.7590000000000003</v>
      </c>
      <c r="CE25">
        <v>0.22600000000000001</v>
      </c>
      <c r="CF25">
        <f t="shared" si="8"/>
        <v>22.6</v>
      </c>
      <c r="CG25" s="1">
        <f t="shared" si="36"/>
        <v>-0.80000000000000071</v>
      </c>
      <c r="CH25" s="1">
        <f t="shared" si="37"/>
        <v>0.64000000000000112</v>
      </c>
      <c r="CI25" s="1">
        <f t="shared" si="38"/>
        <v>-3.4188034188034178E-2</v>
      </c>
      <c r="CK25">
        <v>23</v>
      </c>
      <c r="CL25">
        <v>7.8529999999999998</v>
      </c>
      <c r="CM25">
        <v>8.8249999999999993</v>
      </c>
      <c r="CN25">
        <v>0.2</v>
      </c>
      <c r="CO25">
        <f t="shared" si="9"/>
        <v>20</v>
      </c>
      <c r="CP25" s="1">
        <f t="shared" si="39"/>
        <v>-3.4000000000000021</v>
      </c>
      <c r="CQ25" s="1">
        <f t="shared" si="40"/>
        <v>11.560000000000015</v>
      </c>
      <c r="CR25" s="1">
        <f t="shared" si="41"/>
        <v>-0.14529914529914534</v>
      </c>
    </row>
    <row r="26" spans="1:96" x14ac:dyDescent="0.3">
      <c r="A26">
        <v>9.6069999999999993</v>
      </c>
      <c r="B26">
        <v>13.135999999999999</v>
      </c>
      <c r="C26">
        <v>24</v>
      </c>
      <c r="D26">
        <v>0.20799999999999999</v>
      </c>
      <c r="E26">
        <f t="shared" si="10"/>
        <v>20.8</v>
      </c>
      <c r="F26">
        <f t="shared" si="11"/>
        <v>0.188</v>
      </c>
      <c r="G26">
        <v>24</v>
      </c>
      <c r="H26">
        <v>9.8510000000000009</v>
      </c>
      <c r="I26">
        <v>12.971</v>
      </c>
      <c r="J26">
        <v>0.20599999999999999</v>
      </c>
      <c r="K26">
        <f t="shared" si="0"/>
        <v>20.599999999999998</v>
      </c>
      <c r="L26" s="1">
        <f t="shared" si="12"/>
        <v>-0.20000000000000284</v>
      </c>
      <c r="M26" s="1">
        <f t="shared" si="13"/>
        <v>4.0000000000001139E-2</v>
      </c>
      <c r="N26" s="1">
        <f t="shared" si="14"/>
        <v>-9.6153846153848033E-3</v>
      </c>
      <c r="O26">
        <v>0.20599999999999999</v>
      </c>
      <c r="Q26">
        <v>24</v>
      </c>
      <c r="R26">
        <v>9.7919999999999998</v>
      </c>
      <c r="S26">
        <v>12.988</v>
      </c>
      <c r="T26">
        <v>0.22800000000000001</v>
      </c>
      <c r="U26">
        <f t="shared" si="1"/>
        <v>22.8</v>
      </c>
      <c r="V26" s="1">
        <f t="shared" si="15"/>
        <v>2</v>
      </c>
      <c r="W26" s="1">
        <f t="shared" si="16"/>
        <v>4</v>
      </c>
      <c r="X26" s="1">
        <f t="shared" si="17"/>
        <v>9.6153846153846256E-2</v>
      </c>
      <c r="Z26">
        <v>24</v>
      </c>
      <c r="AA26">
        <v>9.8409999999999993</v>
      </c>
      <c r="AB26">
        <v>12.954000000000001</v>
      </c>
      <c r="AC26">
        <v>0.21</v>
      </c>
      <c r="AD26">
        <f t="shared" si="42"/>
        <v>21</v>
      </c>
      <c r="AE26" s="1">
        <f t="shared" si="18"/>
        <v>0.19999999999999929</v>
      </c>
      <c r="AF26" s="1">
        <f t="shared" si="19"/>
        <v>3.9999999999999716E-2</v>
      </c>
      <c r="AG26" s="1">
        <f t="shared" si="20"/>
        <v>9.6153846153845812E-3</v>
      </c>
      <c r="AI26">
        <v>24</v>
      </c>
      <c r="AJ26">
        <v>9.7210000000000001</v>
      </c>
      <c r="AK26">
        <v>13.047000000000001</v>
      </c>
      <c r="AL26">
        <v>0.21</v>
      </c>
      <c r="AM26">
        <f t="shared" si="3"/>
        <v>21</v>
      </c>
      <c r="AN26" s="1">
        <f t="shared" si="21"/>
        <v>0.19999999999999929</v>
      </c>
      <c r="AO26" s="1">
        <f t="shared" si="22"/>
        <v>3.9999999999999716E-2</v>
      </c>
      <c r="AP26" s="1">
        <f t="shared" si="23"/>
        <v>9.6153846153845812E-3</v>
      </c>
      <c r="AR26">
        <v>24</v>
      </c>
      <c r="AS26">
        <v>9.8239999999999998</v>
      </c>
      <c r="AT26">
        <v>12.956</v>
      </c>
      <c r="AU26">
        <v>0.20399999999999999</v>
      </c>
      <c r="AV26">
        <f t="shared" si="4"/>
        <v>20.399999999999999</v>
      </c>
      <c r="AW26" s="1">
        <f t="shared" si="24"/>
        <v>-0.40000000000000213</v>
      </c>
      <c r="AX26" s="1">
        <f t="shared" si="25"/>
        <v>0.1600000000000017</v>
      </c>
      <c r="AY26" s="1">
        <f t="shared" si="26"/>
        <v>-1.9230769230769384E-2</v>
      </c>
      <c r="BA26">
        <v>24</v>
      </c>
      <c r="BB26">
        <v>9.9220000000000006</v>
      </c>
      <c r="BC26">
        <v>12.91</v>
      </c>
      <c r="BD26">
        <v>0.219</v>
      </c>
      <c r="BE26">
        <f t="shared" si="5"/>
        <v>21.9</v>
      </c>
      <c r="BF26" s="1">
        <f t="shared" si="27"/>
        <v>1.0999999999999979</v>
      </c>
      <c r="BG26" s="1">
        <f t="shared" si="28"/>
        <v>1.2099999999999953</v>
      </c>
      <c r="BH26" s="1">
        <f t="shared" si="29"/>
        <v>5.2884615384615197E-2</v>
      </c>
      <c r="BJ26">
        <v>24</v>
      </c>
      <c r="BK26">
        <v>9.8360000000000003</v>
      </c>
      <c r="BL26">
        <v>12.972</v>
      </c>
      <c r="BM26">
        <v>0.21299999999999999</v>
      </c>
      <c r="BN26">
        <f t="shared" si="6"/>
        <v>21.3</v>
      </c>
      <c r="BO26" s="1">
        <f t="shared" si="30"/>
        <v>0.5</v>
      </c>
      <c r="BP26" s="1">
        <f t="shared" si="31"/>
        <v>0.25</v>
      </c>
      <c r="BQ26" s="1">
        <f t="shared" si="32"/>
        <v>2.4038461538461453E-2</v>
      </c>
      <c r="BS26">
        <v>24</v>
      </c>
      <c r="BT26">
        <v>9.6430000000000007</v>
      </c>
      <c r="BU26">
        <v>13.1</v>
      </c>
      <c r="BV26">
        <v>0.21199999999999999</v>
      </c>
      <c r="BW26">
        <f t="shared" si="7"/>
        <v>21.2</v>
      </c>
      <c r="BX26" s="1">
        <f t="shared" si="33"/>
        <v>0.39999999999999858</v>
      </c>
      <c r="BY26" s="1">
        <f t="shared" si="34"/>
        <v>0.15999999999999887</v>
      </c>
      <c r="BZ26" s="1">
        <f t="shared" si="35"/>
        <v>1.9230769230769162E-2</v>
      </c>
      <c r="CB26">
        <v>24</v>
      </c>
      <c r="CC26">
        <v>9.9469999999999992</v>
      </c>
      <c r="CD26">
        <v>12.882</v>
      </c>
      <c r="CE26">
        <v>0.193</v>
      </c>
      <c r="CF26">
        <f t="shared" si="8"/>
        <v>19.3</v>
      </c>
      <c r="CG26" s="1">
        <f t="shared" si="36"/>
        <v>-1.5</v>
      </c>
      <c r="CH26" s="1">
        <f t="shared" si="37"/>
        <v>2.25</v>
      </c>
      <c r="CI26" s="1">
        <f t="shared" si="38"/>
        <v>-7.2115384615384581E-2</v>
      </c>
      <c r="CK26">
        <v>24</v>
      </c>
      <c r="CL26">
        <v>9.8510000000000009</v>
      </c>
      <c r="CM26">
        <v>12.971</v>
      </c>
      <c r="CN26">
        <v>0.20499999999999999</v>
      </c>
      <c r="CO26">
        <f t="shared" si="9"/>
        <v>20.5</v>
      </c>
      <c r="CP26" s="1">
        <f t="shared" si="39"/>
        <v>-0.30000000000000071</v>
      </c>
      <c r="CQ26" s="1">
        <f t="shared" si="40"/>
        <v>9.0000000000000427E-2</v>
      </c>
      <c r="CR26" s="1">
        <f t="shared" si="41"/>
        <v>-1.4423076923076983E-2</v>
      </c>
    </row>
    <row r="27" spans="1:96" x14ac:dyDescent="0.3">
      <c r="A27">
        <v>5.6740000000000004</v>
      </c>
      <c r="B27">
        <v>11.208</v>
      </c>
      <c r="C27">
        <v>25</v>
      </c>
      <c r="D27">
        <v>0.25</v>
      </c>
      <c r="E27">
        <f t="shared" si="10"/>
        <v>25</v>
      </c>
      <c r="F27">
        <f t="shared" si="11"/>
        <v>0.23</v>
      </c>
      <c r="G27">
        <v>25</v>
      </c>
      <c r="H27">
        <v>5.9020000000000001</v>
      </c>
      <c r="I27">
        <v>11.108000000000001</v>
      </c>
      <c r="J27">
        <v>0.26600000000000001</v>
      </c>
      <c r="K27">
        <f t="shared" si="0"/>
        <v>26.6</v>
      </c>
      <c r="L27" s="1">
        <f t="shared" si="12"/>
        <v>1.6000000000000014</v>
      </c>
      <c r="M27" s="1">
        <f t="shared" si="13"/>
        <v>2.5600000000000045</v>
      </c>
      <c r="N27" s="1">
        <f t="shared" si="14"/>
        <v>6.4000000000000057E-2</v>
      </c>
      <c r="O27">
        <v>0.26600000000000001</v>
      </c>
      <c r="Q27">
        <v>25</v>
      </c>
      <c r="R27">
        <v>5.8250000000000002</v>
      </c>
      <c r="S27">
        <v>11.131</v>
      </c>
      <c r="T27">
        <v>0.25</v>
      </c>
      <c r="U27">
        <f t="shared" si="1"/>
        <v>25</v>
      </c>
      <c r="V27" s="1">
        <f t="shared" si="15"/>
        <v>0</v>
      </c>
      <c r="W27" s="1">
        <f t="shared" si="16"/>
        <v>0</v>
      </c>
      <c r="X27" s="1">
        <f t="shared" si="17"/>
        <v>0</v>
      </c>
      <c r="Z27">
        <v>25</v>
      </c>
      <c r="AA27">
        <v>5.8680000000000003</v>
      </c>
      <c r="AB27">
        <v>11.102</v>
      </c>
      <c r="AC27">
        <v>0.23400000000000001</v>
      </c>
      <c r="AD27">
        <f t="shared" si="42"/>
        <v>23.400000000000002</v>
      </c>
      <c r="AE27" s="1">
        <f t="shared" si="18"/>
        <v>-1.5999999999999979</v>
      </c>
      <c r="AF27" s="1">
        <f t="shared" si="19"/>
        <v>2.5599999999999934</v>
      </c>
      <c r="AG27" s="1">
        <f t="shared" si="20"/>
        <v>-6.3999999999999946E-2</v>
      </c>
      <c r="AI27">
        <v>25</v>
      </c>
      <c r="AJ27">
        <v>0</v>
      </c>
      <c r="AK27">
        <v>0</v>
      </c>
      <c r="AL27">
        <v>0</v>
      </c>
      <c r="AM27">
        <f t="shared" si="3"/>
        <v>0</v>
      </c>
      <c r="AN27" s="1">
        <f t="shared" si="21"/>
        <v>-25</v>
      </c>
      <c r="AO27" s="1">
        <f t="shared" si="22"/>
        <v>625</v>
      </c>
      <c r="AP27" s="1">
        <f t="shared" si="23"/>
        <v>-1</v>
      </c>
      <c r="AR27">
        <v>25</v>
      </c>
      <c r="AS27">
        <v>5.851</v>
      </c>
      <c r="AT27">
        <v>11.101000000000001</v>
      </c>
      <c r="AU27">
        <v>0.26</v>
      </c>
      <c r="AV27">
        <f t="shared" si="4"/>
        <v>26</v>
      </c>
      <c r="AW27" s="1">
        <f t="shared" si="24"/>
        <v>1</v>
      </c>
      <c r="AX27" s="1">
        <f t="shared" si="25"/>
        <v>1</v>
      </c>
      <c r="AY27" s="1">
        <f t="shared" si="26"/>
        <v>4.0000000000000036E-2</v>
      </c>
      <c r="BA27">
        <v>25</v>
      </c>
      <c r="BB27">
        <v>5.9359999999999999</v>
      </c>
      <c r="BC27">
        <v>11.074</v>
      </c>
      <c r="BD27">
        <v>0.255</v>
      </c>
      <c r="BE27">
        <f t="shared" si="5"/>
        <v>25.5</v>
      </c>
      <c r="BF27" s="1">
        <f t="shared" si="27"/>
        <v>0.5</v>
      </c>
      <c r="BG27" s="1">
        <f t="shared" si="28"/>
        <v>0.25</v>
      </c>
      <c r="BH27" s="1">
        <f t="shared" si="29"/>
        <v>2.0000000000000018E-2</v>
      </c>
      <c r="BJ27">
        <v>25</v>
      </c>
      <c r="BK27">
        <v>5.8659999999999997</v>
      </c>
      <c r="BL27">
        <v>11.116</v>
      </c>
      <c r="BM27">
        <v>0.26200000000000001</v>
      </c>
      <c r="BN27">
        <f t="shared" si="6"/>
        <v>26.200000000000003</v>
      </c>
      <c r="BO27" s="1">
        <f t="shared" si="30"/>
        <v>1.2000000000000028</v>
      </c>
      <c r="BP27" s="1">
        <f t="shared" si="31"/>
        <v>1.4400000000000068</v>
      </c>
      <c r="BQ27" s="1">
        <f t="shared" si="32"/>
        <v>4.8000000000000043E-2</v>
      </c>
      <c r="BS27">
        <v>25</v>
      </c>
      <c r="BT27">
        <v>5.7050000000000001</v>
      </c>
      <c r="BU27">
        <v>11.183</v>
      </c>
      <c r="BV27">
        <v>0.254</v>
      </c>
      <c r="BW27">
        <f t="shared" si="7"/>
        <v>25.4</v>
      </c>
      <c r="BX27" s="1">
        <f t="shared" si="33"/>
        <v>0.39999999999999858</v>
      </c>
      <c r="BY27" s="1">
        <f t="shared" si="34"/>
        <v>0.15999999999999887</v>
      </c>
      <c r="BZ27" s="1">
        <f t="shared" si="35"/>
        <v>1.6000000000000014E-2</v>
      </c>
      <c r="CB27">
        <v>25</v>
      </c>
      <c r="CC27">
        <v>5.9649999999999999</v>
      </c>
      <c r="CD27">
        <v>11.05</v>
      </c>
      <c r="CE27">
        <v>0.24399999999999999</v>
      </c>
      <c r="CF27">
        <f t="shared" si="8"/>
        <v>24.4</v>
      </c>
      <c r="CG27" s="1">
        <f t="shared" si="36"/>
        <v>-0.60000000000000142</v>
      </c>
      <c r="CH27" s="1">
        <f t="shared" si="37"/>
        <v>0.36000000000000171</v>
      </c>
      <c r="CI27" s="1">
        <f t="shared" si="38"/>
        <v>-2.4000000000000021E-2</v>
      </c>
      <c r="CK27">
        <v>25</v>
      </c>
      <c r="CL27">
        <v>5.9020000000000001</v>
      </c>
      <c r="CM27">
        <v>11.108000000000001</v>
      </c>
      <c r="CN27">
        <v>0.22600000000000001</v>
      </c>
      <c r="CO27">
        <f t="shared" si="9"/>
        <v>22.6</v>
      </c>
      <c r="CP27" s="1">
        <f t="shared" si="39"/>
        <v>-2.3999999999999986</v>
      </c>
      <c r="CQ27" s="1">
        <f t="shared" si="40"/>
        <v>5.7599999999999936</v>
      </c>
      <c r="CR27" s="1">
        <f t="shared" si="41"/>
        <v>-9.5999999999999974E-2</v>
      </c>
    </row>
    <row r="28" spans="1:96" x14ac:dyDescent="0.3">
      <c r="A28">
        <v>7.8520000000000003</v>
      </c>
      <c r="B28">
        <v>12.984</v>
      </c>
      <c r="C28">
        <v>26</v>
      </c>
      <c r="D28">
        <v>0.32800000000000001</v>
      </c>
      <c r="E28">
        <f t="shared" si="10"/>
        <v>32.800000000000004</v>
      </c>
      <c r="F28">
        <f t="shared" si="11"/>
        <v>0.308</v>
      </c>
      <c r="G28">
        <v>26</v>
      </c>
      <c r="H28">
        <v>8.0990000000000002</v>
      </c>
      <c r="I28">
        <v>12.842000000000001</v>
      </c>
      <c r="J28">
        <v>0.33600000000000002</v>
      </c>
      <c r="K28">
        <f t="shared" si="0"/>
        <v>33.6</v>
      </c>
      <c r="L28" s="1">
        <f t="shared" si="12"/>
        <v>0.79999999999999716</v>
      </c>
      <c r="M28" s="1">
        <f t="shared" si="13"/>
        <v>0.63999999999999546</v>
      </c>
      <c r="N28" s="1">
        <f t="shared" si="14"/>
        <v>2.4390243902438824E-2</v>
      </c>
      <c r="O28">
        <v>0.33600000000000002</v>
      </c>
      <c r="Q28">
        <v>26</v>
      </c>
      <c r="R28">
        <v>8.0269999999999992</v>
      </c>
      <c r="S28">
        <v>12.867000000000001</v>
      </c>
      <c r="T28">
        <v>0.33600000000000002</v>
      </c>
      <c r="U28">
        <f t="shared" si="1"/>
        <v>33.6</v>
      </c>
      <c r="V28" s="1">
        <f t="shared" si="15"/>
        <v>0.79999999999999716</v>
      </c>
      <c r="W28" s="1">
        <f t="shared" si="16"/>
        <v>0.63999999999999546</v>
      </c>
      <c r="X28" s="1">
        <f t="shared" si="17"/>
        <v>2.4390243902438824E-2</v>
      </c>
      <c r="Z28">
        <v>26</v>
      </c>
      <c r="AA28">
        <v>8.0839999999999996</v>
      </c>
      <c r="AB28">
        <v>12.843999999999999</v>
      </c>
      <c r="AC28">
        <v>0.34100000000000003</v>
      </c>
      <c r="AD28">
        <f t="shared" si="42"/>
        <v>34.1</v>
      </c>
      <c r="AE28" s="1">
        <f t="shared" ref="AE28:AE43" si="43">AD28-E28</f>
        <v>1.2999999999999972</v>
      </c>
      <c r="AF28" s="1">
        <f t="shared" ref="AF28:AF43" si="44">AE28*AE28</f>
        <v>1.6899999999999926</v>
      </c>
      <c r="AG28" s="1">
        <f t="shared" si="20"/>
        <v>3.9634146341463339E-2</v>
      </c>
      <c r="AI28">
        <v>26</v>
      </c>
      <c r="AJ28">
        <v>7.9690000000000003</v>
      </c>
      <c r="AK28">
        <v>12.91</v>
      </c>
      <c r="AL28">
        <v>0.33700000000000002</v>
      </c>
      <c r="AM28">
        <f t="shared" si="3"/>
        <v>33.700000000000003</v>
      </c>
      <c r="AN28" s="1">
        <f t="shared" si="21"/>
        <v>0.89999999999999858</v>
      </c>
      <c r="AO28" s="1">
        <f t="shared" si="22"/>
        <v>0.80999999999999739</v>
      </c>
      <c r="AP28" s="1">
        <f t="shared" si="23"/>
        <v>2.7439024390243816E-2</v>
      </c>
      <c r="AR28">
        <v>26</v>
      </c>
      <c r="AS28">
        <v>8.0649999999999995</v>
      </c>
      <c r="AT28">
        <v>12.843</v>
      </c>
      <c r="AU28">
        <v>0.33</v>
      </c>
      <c r="AV28">
        <f t="shared" si="4"/>
        <v>33</v>
      </c>
      <c r="AW28" s="1">
        <f t="shared" si="24"/>
        <v>0.19999999999999574</v>
      </c>
      <c r="AX28" s="1">
        <f t="shared" si="25"/>
        <v>3.9999999999998294E-2</v>
      </c>
      <c r="AY28" s="1">
        <f t="shared" si="26"/>
        <v>6.0975609756095395E-3</v>
      </c>
      <c r="BA28">
        <v>26</v>
      </c>
      <c r="BB28">
        <v>8.157</v>
      </c>
      <c r="BC28">
        <v>12.795</v>
      </c>
      <c r="BD28">
        <v>0.32400000000000001</v>
      </c>
      <c r="BE28">
        <f t="shared" si="5"/>
        <v>32.4</v>
      </c>
      <c r="BF28" s="1">
        <f t="shared" si="27"/>
        <v>-0.40000000000000568</v>
      </c>
      <c r="BG28" s="1">
        <f t="shared" si="28"/>
        <v>0.16000000000000456</v>
      </c>
      <c r="BH28" s="1">
        <f t="shared" si="29"/>
        <v>-1.2195121951219634E-2</v>
      </c>
      <c r="BJ28">
        <v>26</v>
      </c>
      <c r="BK28">
        <v>8.0869999999999997</v>
      </c>
      <c r="BL28">
        <v>12.845000000000001</v>
      </c>
      <c r="BM28">
        <v>0.33</v>
      </c>
      <c r="BN28">
        <f t="shared" si="6"/>
        <v>33</v>
      </c>
      <c r="BO28" s="1">
        <f t="shared" si="30"/>
        <v>0.19999999999999574</v>
      </c>
      <c r="BP28" s="1">
        <f t="shared" si="31"/>
        <v>3.9999999999998294E-2</v>
      </c>
      <c r="BQ28" s="1">
        <f t="shared" si="32"/>
        <v>6.0975609756095395E-3</v>
      </c>
      <c r="BS28">
        <v>26</v>
      </c>
      <c r="BT28">
        <v>7.8810000000000002</v>
      </c>
      <c r="BU28">
        <v>12.967000000000001</v>
      </c>
      <c r="BV28">
        <v>0.38400000000000001</v>
      </c>
      <c r="BW28">
        <f t="shared" si="7"/>
        <v>38.4</v>
      </c>
      <c r="BX28" s="1">
        <f t="shared" si="33"/>
        <v>5.5999999999999943</v>
      </c>
      <c r="BY28" s="1">
        <f t="shared" si="34"/>
        <v>31.359999999999935</v>
      </c>
      <c r="BZ28" s="1">
        <f t="shared" si="35"/>
        <v>0.17073170731707288</v>
      </c>
      <c r="CB28">
        <v>26</v>
      </c>
      <c r="CC28">
        <v>8.1639999999999997</v>
      </c>
      <c r="CD28">
        <v>12.766999999999999</v>
      </c>
      <c r="CE28">
        <v>0.315</v>
      </c>
      <c r="CF28">
        <f t="shared" si="8"/>
        <v>31.5</v>
      </c>
      <c r="CG28" s="1">
        <f t="shared" si="36"/>
        <v>-1.3000000000000043</v>
      </c>
      <c r="CH28" s="1">
        <f t="shared" si="37"/>
        <v>1.690000000000011</v>
      </c>
      <c r="CI28" s="1">
        <f t="shared" si="38"/>
        <v>-3.9634146341463561E-2</v>
      </c>
      <c r="CK28">
        <v>26</v>
      </c>
      <c r="CL28">
        <v>8.0990000000000002</v>
      </c>
      <c r="CM28">
        <v>12.842000000000001</v>
      </c>
      <c r="CN28">
        <v>0.30299999999999999</v>
      </c>
      <c r="CO28">
        <f t="shared" si="9"/>
        <v>30.3</v>
      </c>
      <c r="CP28" s="1">
        <f t="shared" si="39"/>
        <v>-2.5000000000000036</v>
      </c>
      <c r="CQ28" s="1">
        <f t="shared" si="40"/>
        <v>6.2500000000000178</v>
      </c>
      <c r="CR28" s="1">
        <f t="shared" si="41"/>
        <v>-7.6219512195122019E-2</v>
      </c>
    </row>
    <row r="29" spans="1:96" x14ac:dyDescent="0.3">
      <c r="A29">
        <v>11.978</v>
      </c>
      <c r="B29">
        <v>10.712999999999999</v>
      </c>
      <c r="C29">
        <v>27</v>
      </c>
      <c r="D29">
        <v>0.28499999999999998</v>
      </c>
      <c r="E29">
        <f t="shared" si="10"/>
        <v>28.499999999999996</v>
      </c>
      <c r="F29">
        <f t="shared" si="11"/>
        <v>0.26499999999999996</v>
      </c>
      <c r="G29">
        <v>27</v>
      </c>
      <c r="H29">
        <v>12.071</v>
      </c>
      <c r="I29">
        <v>10.513</v>
      </c>
      <c r="J29">
        <v>0.30099999999999999</v>
      </c>
      <c r="K29">
        <f t="shared" si="0"/>
        <v>30.099999999999998</v>
      </c>
      <c r="L29" s="1">
        <f t="shared" si="12"/>
        <v>1.6000000000000014</v>
      </c>
      <c r="M29" s="1">
        <f t="shared" si="13"/>
        <v>2.5600000000000045</v>
      </c>
      <c r="N29" s="1">
        <f t="shared" si="14"/>
        <v>5.6140350877192935E-2</v>
      </c>
      <c r="O29">
        <v>0.30099999999999999</v>
      </c>
      <c r="Q29">
        <v>27</v>
      </c>
      <c r="R29">
        <v>12.083</v>
      </c>
      <c r="S29">
        <v>10.513</v>
      </c>
      <c r="T29">
        <v>0.32200000000000001</v>
      </c>
      <c r="U29">
        <f t="shared" si="1"/>
        <v>32.200000000000003</v>
      </c>
      <c r="V29" s="1">
        <f t="shared" si="15"/>
        <v>3.7000000000000064</v>
      </c>
      <c r="W29" s="1">
        <f t="shared" si="16"/>
        <v>13.690000000000047</v>
      </c>
      <c r="X29" s="1">
        <f t="shared" si="17"/>
        <v>0.12982456140350895</v>
      </c>
      <c r="Z29">
        <v>27</v>
      </c>
      <c r="AA29">
        <v>12.157999999999999</v>
      </c>
      <c r="AB29">
        <v>10.523</v>
      </c>
      <c r="AC29">
        <v>0.29799999999999999</v>
      </c>
      <c r="AD29">
        <f t="shared" si="42"/>
        <v>29.799999999999997</v>
      </c>
      <c r="AE29" s="1">
        <f t="shared" si="43"/>
        <v>1.3000000000000007</v>
      </c>
      <c r="AF29" s="1">
        <f t="shared" si="44"/>
        <v>1.6900000000000019</v>
      </c>
      <c r="AG29" s="1">
        <f t="shared" si="20"/>
        <v>4.5614035087719218E-2</v>
      </c>
      <c r="AI29">
        <v>27</v>
      </c>
      <c r="AJ29">
        <v>12.07</v>
      </c>
      <c r="AK29">
        <v>10.438000000000001</v>
      </c>
      <c r="AL29">
        <v>0.36399999999999999</v>
      </c>
      <c r="AM29">
        <f t="shared" si="3"/>
        <v>36.4</v>
      </c>
      <c r="AN29" s="1">
        <f t="shared" si="21"/>
        <v>7.9000000000000021</v>
      </c>
      <c r="AO29" s="1">
        <f t="shared" si="22"/>
        <v>62.410000000000032</v>
      </c>
      <c r="AP29" s="1">
        <f t="shared" si="23"/>
        <v>0.27719298245614055</v>
      </c>
      <c r="AR29">
        <v>27</v>
      </c>
      <c r="AS29">
        <v>12.212999999999999</v>
      </c>
      <c r="AT29">
        <v>10.452999999999999</v>
      </c>
      <c r="AU29">
        <v>0.17699999999999999</v>
      </c>
      <c r="AV29">
        <f t="shared" si="4"/>
        <v>17.7</v>
      </c>
      <c r="AW29" s="1">
        <f t="shared" si="24"/>
        <v>-10.799999999999997</v>
      </c>
      <c r="AX29" s="1">
        <f t="shared" si="25"/>
        <v>116.63999999999994</v>
      </c>
      <c r="AY29" s="1">
        <f t="shared" si="26"/>
        <v>-0.37894736842105259</v>
      </c>
      <c r="BA29">
        <v>27</v>
      </c>
      <c r="BB29">
        <v>0</v>
      </c>
      <c r="BC29">
        <v>0</v>
      </c>
      <c r="BD29">
        <v>0</v>
      </c>
      <c r="BE29">
        <f t="shared" si="5"/>
        <v>0</v>
      </c>
      <c r="BF29" s="1">
        <f t="shared" si="27"/>
        <v>-28.499999999999996</v>
      </c>
      <c r="BG29" s="1">
        <f t="shared" si="28"/>
        <v>812.24999999999977</v>
      </c>
      <c r="BH29" s="1">
        <f t="shared" si="29"/>
        <v>-1</v>
      </c>
      <c r="BJ29">
        <v>27</v>
      </c>
      <c r="BK29">
        <v>0</v>
      </c>
      <c r="BL29">
        <v>0</v>
      </c>
      <c r="BN29">
        <f t="shared" si="6"/>
        <v>0</v>
      </c>
      <c r="BO29" s="1">
        <f t="shared" si="30"/>
        <v>-28.499999999999996</v>
      </c>
      <c r="BP29" s="1">
        <f t="shared" si="31"/>
        <v>812.24999999999977</v>
      </c>
      <c r="BQ29" s="1">
        <f t="shared" si="32"/>
        <v>-1</v>
      </c>
      <c r="BS29">
        <v>27</v>
      </c>
      <c r="BT29">
        <v>0</v>
      </c>
      <c r="BU29">
        <v>0</v>
      </c>
      <c r="BV29">
        <v>0</v>
      </c>
      <c r="BW29">
        <f t="shared" si="7"/>
        <v>0</v>
      </c>
      <c r="BX29" s="1">
        <f t="shared" si="33"/>
        <v>-28.499999999999996</v>
      </c>
      <c r="BY29" s="1">
        <f t="shared" si="34"/>
        <v>812.24999999999977</v>
      </c>
      <c r="BZ29" s="1">
        <f t="shared" si="35"/>
        <v>-1</v>
      </c>
      <c r="CB29">
        <v>27</v>
      </c>
      <c r="CC29">
        <v>0</v>
      </c>
      <c r="CD29">
        <v>0</v>
      </c>
      <c r="CE29">
        <v>0</v>
      </c>
      <c r="CF29">
        <f t="shared" si="8"/>
        <v>0</v>
      </c>
      <c r="CG29" s="1">
        <f t="shared" si="36"/>
        <v>-28.499999999999996</v>
      </c>
      <c r="CH29" s="1">
        <f t="shared" si="37"/>
        <v>812.24999999999977</v>
      </c>
      <c r="CI29" s="1">
        <f t="shared" si="38"/>
        <v>-1</v>
      </c>
      <c r="CK29">
        <v>27</v>
      </c>
      <c r="CL29">
        <v>0</v>
      </c>
      <c r="CM29">
        <v>0</v>
      </c>
      <c r="CN29">
        <v>0</v>
      </c>
      <c r="CO29">
        <f t="shared" si="9"/>
        <v>0</v>
      </c>
      <c r="CP29" s="1">
        <f t="shared" si="39"/>
        <v>-28.499999999999996</v>
      </c>
      <c r="CQ29" s="1">
        <f t="shared" si="40"/>
        <v>812.24999999999977</v>
      </c>
      <c r="CR29" s="1">
        <f t="shared" si="41"/>
        <v>-1</v>
      </c>
    </row>
    <row r="30" spans="1:96" x14ac:dyDescent="0.3">
      <c r="A30">
        <v>14.035</v>
      </c>
      <c r="B30">
        <v>10.863</v>
      </c>
      <c r="C30">
        <v>28</v>
      </c>
      <c r="D30">
        <v>0.33800000000000002</v>
      </c>
      <c r="E30">
        <f t="shared" si="10"/>
        <v>33.800000000000004</v>
      </c>
      <c r="F30">
        <f t="shared" si="11"/>
        <v>0.318</v>
      </c>
      <c r="G30">
        <v>28</v>
      </c>
      <c r="H30">
        <v>14.231999999999999</v>
      </c>
      <c r="I30">
        <v>10.627000000000001</v>
      </c>
      <c r="J30">
        <v>0.34499999999999997</v>
      </c>
      <c r="K30">
        <f t="shared" si="0"/>
        <v>34.5</v>
      </c>
      <c r="L30" s="1">
        <f t="shared" si="12"/>
        <v>0.69999999999999574</v>
      </c>
      <c r="M30" s="1">
        <f t="shared" si="13"/>
        <v>0.48999999999999405</v>
      </c>
      <c r="N30" s="1">
        <f t="shared" si="14"/>
        <v>2.0710059171597406E-2</v>
      </c>
      <c r="O30">
        <v>0.34499999999999997</v>
      </c>
      <c r="Q30">
        <v>28</v>
      </c>
      <c r="R30">
        <v>14.016</v>
      </c>
      <c r="S30">
        <v>10.664</v>
      </c>
      <c r="T30">
        <v>0.33600000000000002</v>
      </c>
      <c r="U30">
        <f t="shared" si="1"/>
        <v>33.6</v>
      </c>
      <c r="V30" s="1">
        <f t="shared" si="15"/>
        <v>-0.20000000000000284</v>
      </c>
      <c r="W30" s="1">
        <f t="shared" si="16"/>
        <v>4.0000000000001139E-2</v>
      </c>
      <c r="X30" s="1">
        <f t="shared" si="17"/>
        <v>-5.9171597633136397E-3</v>
      </c>
      <c r="Z30">
        <v>28</v>
      </c>
      <c r="AA30">
        <v>14.223000000000001</v>
      </c>
      <c r="AB30">
        <v>10.625</v>
      </c>
      <c r="AC30">
        <v>0.33900000000000002</v>
      </c>
      <c r="AD30">
        <f t="shared" si="42"/>
        <v>33.900000000000006</v>
      </c>
      <c r="AE30" s="1">
        <f t="shared" si="43"/>
        <v>0.10000000000000142</v>
      </c>
      <c r="AF30" s="1">
        <f t="shared" si="44"/>
        <v>1.0000000000000285E-2</v>
      </c>
      <c r="AG30" s="1">
        <f t="shared" si="20"/>
        <v>2.9585798816569309E-3</v>
      </c>
      <c r="AI30">
        <v>28</v>
      </c>
      <c r="AJ30">
        <v>14.144</v>
      </c>
      <c r="AK30">
        <v>10.742000000000001</v>
      </c>
      <c r="AL30">
        <v>0.33</v>
      </c>
      <c r="AM30">
        <f t="shared" si="3"/>
        <v>33</v>
      </c>
      <c r="AN30" s="1">
        <f t="shared" si="21"/>
        <v>-0.80000000000000426</v>
      </c>
      <c r="AO30" s="1">
        <f t="shared" si="22"/>
        <v>0.64000000000000679</v>
      </c>
      <c r="AP30" s="1">
        <f t="shared" si="23"/>
        <v>-2.3668639053254559E-2</v>
      </c>
      <c r="AR30">
        <v>28</v>
      </c>
      <c r="AS30">
        <v>0</v>
      </c>
      <c r="AT30">
        <v>0</v>
      </c>
      <c r="AU30">
        <v>0</v>
      </c>
      <c r="AV30">
        <f t="shared" si="4"/>
        <v>0</v>
      </c>
      <c r="AW30" s="1">
        <f t="shared" si="24"/>
        <v>-33.800000000000004</v>
      </c>
      <c r="AX30" s="1">
        <f t="shared" si="25"/>
        <v>1142.4400000000003</v>
      </c>
      <c r="AY30" s="1">
        <f t="shared" si="26"/>
        <v>-1</v>
      </c>
      <c r="BA30">
        <v>28</v>
      </c>
      <c r="BB30">
        <v>0</v>
      </c>
      <c r="BC30">
        <v>0</v>
      </c>
      <c r="BD30">
        <v>0</v>
      </c>
      <c r="BE30">
        <f t="shared" si="5"/>
        <v>0</v>
      </c>
      <c r="BF30" s="1">
        <f t="shared" si="27"/>
        <v>-33.800000000000004</v>
      </c>
      <c r="BG30" s="1">
        <f t="shared" si="28"/>
        <v>1142.4400000000003</v>
      </c>
      <c r="BH30" s="1">
        <f t="shared" si="29"/>
        <v>-1</v>
      </c>
      <c r="BJ30">
        <v>28</v>
      </c>
      <c r="BK30">
        <v>0</v>
      </c>
      <c r="BL30">
        <v>0</v>
      </c>
      <c r="BN30">
        <f t="shared" si="6"/>
        <v>0</v>
      </c>
      <c r="BO30" s="1">
        <f t="shared" si="30"/>
        <v>-33.800000000000004</v>
      </c>
      <c r="BP30" s="1">
        <f t="shared" si="31"/>
        <v>1142.4400000000003</v>
      </c>
      <c r="BQ30" s="1">
        <f t="shared" si="32"/>
        <v>-1</v>
      </c>
      <c r="BS30">
        <v>28</v>
      </c>
      <c r="BT30">
        <v>0</v>
      </c>
      <c r="BU30">
        <v>0</v>
      </c>
      <c r="BV30">
        <v>0</v>
      </c>
      <c r="BW30">
        <f t="shared" si="7"/>
        <v>0</v>
      </c>
      <c r="BX30" s="1">
        <f t="shared" si="33"/>
        <v>-33.800000000000004</v>
      </c>
      <c r="BY30" s="1">
        <f t="shared" si="34"/>
        <v>1142.4400000000003</v>
      </c>
      <c r="BZ30" s="1">
        <f t="shared" si="35"/>
        <v>-1</v>
      </c>
      <c r="CB30">
        <v>28</v>
      </c>
      <c r="CC30">
        <v>0</v>
      </c>
      <c r="CD30">
        <v>0</v>
      </c>
      <c r="CE30">
        <v>0</v>
      </c>
      <c r="CF30">
        <f t="shared" si="8"/>
        <v>0</v>
      </c>
      <c r="CG30" s="1">
        <f t="shared" si="36"/>
        <v>-33.800000000000004</v>
      </c>
      <c r="CH30" s="1">
        <f t="shared" si="37"/>
        <v>1142.4400000000003</v>
      </c>
      <c r="CI30" s="1">
        <f t="shared" si="38"/>
        <v>-1</v>
      </c>
      <c r="CK30">
        <v>28</v>
      </c>
      <c r="CL30">
        <v>0</v>
      </c>
      <c r="CM30">
        <v>0</v>
      </c>
      <c r="CN30">
        <v>0</v>
      </c>
      <c r="CO30">
        <f t="shared" si="9"/>
        <v>0</v>
      </c>
      <c r="CP30" s="1">
        <f t="shared" si="39"/>
        <v>-33.800000000000004</v>
      </c>
      <c r="CQ30" s="1">
        <f t="shared" si="40"/>
        <v>1142.4400000000003</v>
      </c>
      <c r="CR30" s="1">
        <f t="shared" si="41"/>
        <v>-1</v>
      </c>
    </row>
    <row r="31" spans="1:96" x14ac:dyDescent="0.3">
      <c r="A31">
        <v>11.871</v>
      </c>
      <c r="B31">
        <v>8.85</v>
      </c>
      <c r="C31">
        <v>29</v>
      </c>
      <c r="D31">
        <v>0.318</v>
      </c>
      <c r="E31">
        <f t="shared" si="10"/>
        <v>31.8</v>
      </c>
      <c r="F31">
        <f t="shared" si="11"/>
        <v>0.29799999999999999</v>
      </c>
      <c r="G31">
        <v>29</v>
      </c>
      <c r="H31">
        <v>12.074999999999999</v>
      </c>
      <c r="I31">
        <v>8.5990000000000002</v>
      </c>
      <c r="J31">
        <v>0.33600000000000002</v>
      </c>
      <c r="K31">
        <f t="shared" si="0"/>
        <v>33.6</v>
      </c>
      <c r="L31" s="1">
        <f t="shared" si="12"/>
        <v>1.8000000000000007</v>
      </c>
      <c r="M31" s="1">
        <f t="shared" si="13"/>
        <v>3.2400000000000024</v>
      </c>
      <c r="N31" s="1">
        <f t="shared" si="14"/>
        <v>5.6603773584905648E-2</v>
      </c>
      <c r="O31">
        <v>0.33600000000000002</v>
      </c>
      <c r="Q31">
        <v>29</v>
      </c>
      <c r="R31">
        <v>11.989000000000001</v>
      </c>
      <c r="S31">
        <v>8.6820000000000004</v>
      </c>
      <c r="T31">
        <v>0.34499999999999997</v>
      </c>
      <c r="U31">
        <f t="shared" si="1"/>
        <v>34.5</v>
      </c>
      <c r="V31" s="1">
        <f t="shared" si="15"/>
        <v>2.6999999999999993</v>
      </c>
      <c r="W31" s="1">
        <f t="shared" si="16"/>
        <v>7.2899999999999965</v>
      </c>
      <c r="X31" s="1">
        <f t="shared" si="17"/>
        <v>8.4905660377358361E-2</v>
      </c>
      <c r="Z31">
        <v>29</v>
      </c>
      <c r="AA31">
        <v>12.022</v>
      </c>
      <c r="AB31">
        <v>8.6340000000000003</v>
      </c>
      <c r="AC31">
        <v>0.27900000000000003</v>
      </c>
      <c r="AD31">
        <f t="shared" si="42"/>
        <v>27.900000000000002</v>
      </c>
      <c r="AE31" s="1">
        <f t="shared" si="43"/>
        <v>-3.8999999999999986</v>
      </c>
      <c r="AF31" s="1">
        <f t="shared" si="44"/>
        <v>15.209999999999988</v>
      </c>
      <c r="AG31" s="1">
        <f t="shared" si="20"/>
        <v>-0.12264150943396224</v>
      </c>
      <c r="AI31">
        <v>29</v>
      </c>
      <c r="AJ31">
        <v>11.949</v>
      </c>
      <c r="AK31">
        <v>8.7379999999999995</v>
      </c>
      <c r="AL31">
        <v>0.34300000000000003</v>
      </c>
      <c r="AM31">
        <f t="shared" si="3"/>
        <v>34.300000000000004</v>
      </c>
      <c r="AN31" s="1">
        <f t="shared" si="21"/>
        <v>2.5000000000000036</v>
      </c>
      <c r="AO31" s="1">
        <f t="shared" si="22"/>
        <v>6.2500000000000178</v>
      </c>
      <c r="AP31" s="1">
        <f t="shared" si="23"/>
        <v>7.8616352201257955E-2</v>
      </c>
      <c r="AR31">
        <v>29</v>
      </c>
      <c r="AS31">
        <v>12.007</v>
      </c>
      <c r="AT31">
        <v>8.6620000000000008</v>
      </c>
      <c r="AU31">
        <v>0.34799999999999998</v>
      </c>
      <c r="AV31">
        <f t="shared" si="4"/>
        <v>34.799999999999997</v>
      </c>
      <c r="AW31" s="1">
        <f t="shared" si="24"/>
        <v>2.9999999999999964</v>
      </c>
      <c r="AX31" s="1">
        <f t="shared" si="25"/>
        <v>8.9999999999999787</v>
      </c>
      <c r="AY31" s="1">
        <f t="shared" si="26"/>
        <v>9.4339622641509413E-2</v>
      </c>
      <c r="BA31">
        <v>29</v>
      </c>
      <c r="BB31">
        <v>12.055999999999999</v>
      </c>
      <c r="BC31">
        <v>8.5670000000000002</v>
      </c>
      <c r="BD31">
        <v>0.34399999999999997</v>
      </c>
      <c r="BE31">
        <f t="shared" si="5"/>
        <v>34.4</v>
      </c>
      <c r="BF31" s="1">
        <f t="shared" si="27"/>
        <v>2.5999999999999979</v>
      </c>
      <c r="BG31" s="1">
        <f t="shared" si="28"/>
        <v>6.7599999999999891</v>
      </c>
      <c r="BH31" s="1">
        <f t="shared" si="29"/>
        <v>8.1761006289308158E-2</v>
      </c>
      <c r="BJ31">
        <v>29</v>
      </c>
      <c r="BK31">
        <v>12.14</v>
      </c>
      <c r="BL31">
        <v>8.7050000000000001</v>
      </c>
      <c r="BM31">
        <v>0.33200000000000002</v>
      </c>
      <c r="BN31">
        <f t="shared" si="6"/>
        <v>33.200000000000003</v>
      </c>
      <c r="BO31" s="1">
        <f t="shared" si="30"/>
        <v>1.4000000000000021</v>
      </c>
      <c r="BP31" s="1">
        <f t="shared" si="31"/>
        <v>1.960000000000006</v>
      </c>
      <c r="BQ31" s="1">
        <f t="shared" si="32"/>
        <v>4.4025157232704393E-2</v>
      </c>
      <c r="BS31">
        <v>29</v>
      </c>
      <c r="BT31">
        <v>11.702</v>
      </c>
      <c r="BU31">
        <v>8.83</v>
      </c>
      <c r="BV31">
        <v>0.34499999999999997</v>
      </c>
      <c r="BW31">
        <f t="shared" si="7"/>
        <v>34.5</v>
      </c>
      <c r="BX31" s="1">
        <f t="shared" si="33"/>
        <v>2.6999999999999993</v>
      </c>
      <c r="BY31" s="1">
        <f t="shared" si="34"/>
        <v>7.2899999999999965</v>
      </c>
      <c r="BZ31" s="1">
        <f t="shared" si="35"/>
        <v>8.4905660377358361E-2</v>
      </c>
      <c r="CB31">
        <v>29</v>
      </c>
      <c r="CC31">
        <v>12.096</v>
      </c>
      <c r="CD31">
        <v>8.5239999999999991</v>
      </c>
      <c r="CE31">
        <v>0.27900000000000003</v>
      </c>
      <c r="CF31">
        <f t="shared" si="8"/>
        <v>27.900000000000002</v>
      </c>
      <c r="CG31" s="1">
        <f t="shared" si="36"/>
        <v>-3.8999999999999986</v>
      </c>
      <c r="CH31" s="1">
        <f t="shared" si="37"/>
        <v>15.209999999999988</v>
      </c>
      <c r="CI31" s="1">
        <f t="shared" si="38"/>
        <v>-0.12264150943396224</v>
      </c>
      <c r="CK31">
        <v>29</v>
      </c>
      <c r="CL31">
        <v>12.074999999999999</v>
      </c>
      <c r="CM31">
        <v>8.5990000000000002</v>
      </c>
      <c r="CN31">
        <v>0.25900000000000001</v>
      </c>
      <c r="CO31">
        <f t="shared" si="9"/>
        <v>25.900000000000002</v>
      </c>
      <c r="CP31" s="1">
        <f t="shared" si="39"/>
        <v>-5.8999999999999986</v>
      </c>
      <c r="CQ31" s="1">
        <f t="shared" si="40"/>
        <v>34.809999999999981</v>
      </c>
      <c r="CR31" s="1">
        <f t="shared" si="41"/>
        <v>-0.18553459119496851</v>
      </c>
    </row>
    <row r="32" spans="1:96" x14ac:dyDescent="0.3">
      <c r="A32">
        <v>12.108000000000001</v>
      </c>
      <c r="B32">
        <v>12.958</v>
      </c>
      <c r="C32">
        <v>30</v>
      </c>
      <c r="D32">
        <v>0.17100000000000001</v>
      </c>
      <c r="E32">
        <f t="shared" si="10"/>
        <v>17.100000000000001</v>
      </c>
      <c r="F32">
        <f t="shared" si="11"/>
        <v>0.15100000000000002</v>
      </c>
      <c r="G32">
        <v>30</v>
      </c>
      <c r="H32">
        <v>12.343</v>
      </c>
      <c r="I32">
        <v>12.744</v>
      </c>
      <c r="J32">
        <v>0.182</v>
      </c>
      <c r="K32">
        <f t="shared" si="0"/>
        <v>18.2</v>
      </c>
      <c r="L32" s="1">
        <f t="shared" si="12"/>
        <v>1.0999999999999979</v>
      </c>
      <c r="M32" s="1">
        <f t="shared" si="13"/>
        <v>1.2099999999999953</v>
      </c>
      <c r="N32" s="1">
        <f t="shared" si="14"/>
        <v>6.4327485380116789E-2</v>
      </c>
      <c r="O32">
        <v>0.182</v>
      </c>
      <c r="Q32">
        <v>30</v>
      </c>
      <c r="R32">
        <v>12.288</v>
      </c>
      <c r="S32">
        <v>12.778</v>
      </c>
      <c r="T32">
        <v>0.17</v>
      </c>
      <c r="U32">
        <f t="shared" si="1"/>
        <v>17</v>
      </c>
      <c r="V32" s="1">
        <f t="shared" si="15"/>
        <v>-0.10000000000000142</v>
      </c>
      <c r="W32" s="1">
        <f t="shared" si="16"/>
        <v>1.0000000000000285E-2</v>
      </c>
      <c r="X32" s="1">
        <f t="shared" si="17"/>
        <v>-5.8479532163743242E-3</v>
      </c>
      <c r="Z32">
        <v>30</v>
      </c>
      <c r="AA32">
        <v>12.337999999999999</v>
      </c>
      <c r="AB32">
        <v>12.738</v>
      </c>
      <c r="AC32">
        <v>0.185</v>
      </c>
      <c r="AD32">
        <f t="shared" si="42"/>
        <v>18.5</v>
      </c>
      <c r="AE32" s="1">
        <f t="shared" si="43"/>
        <v>1.3999999999999986</v>
      </c>
      <c r="AF32" s="1">
        <f t="shared" si="44"/>
        <v>1.959999999999996</v>
      </c>
      <c r="AG32" s="1">
        <f t="shared" si="20"/>
        <v>8.1871345029239651E-2</v>
      </c>
      <c r="AI32">
        <v>30</v>
      </c>
      <c r="AJ32">
        <v>12.224</v>
      </c>
      <c r="AK32">
        <v>12.835000000000001</v>
      </c>
      <c r="AL32">
        <v>0.182</v>
      </c>
      <c r="AM32">
        <f t="shared" si="3"/>
        <v>18.2</v>
      </c>
      <c r="AN32" s="1">
        <f t="shared" si="21"/>
        <v>1.0999999999999979</v>
      </c>
      <c r="AO32" s="1">
        <f t="shared" si="22"/>
        <v>1.2099999999999953</v>
      </c>
      <c r="AP32" s="1">
        <f t="shared" si="23"/>
        <v>6.4327485380116789E-2</v>
      </c>
      <c r="AR32">
        <v>30</v>
      </c>
      <c r="AS32">
        <v>12.327999999999999</v>
      </c>
      <c r="AT32">
        <v>12.74</v>
      </c>
      <c r="AU32">
        <v>0.17299999999999999</v>
      </c>
      <c r="AV32">
        <f t="shared" si="4"/>
        <v>17.299999999999997</v>
      </c>
      <c r="AW32" s="1">
        <f t="shared" si="24"/>
        <v>0.19999999999999574</v>
      </c>
      <c r="AX32" s="1">
        <f t="shared" si="25"/>
        <v>3.9999999999998294E-2</v>
      </c>
      <c r="AY32" s="1">
        <f t="shared" si="26"/>
        <v>1.1695906432748204E-2</v>
      </c>
      <c r="BA32">
        <v>30</v>
      </c>
      <c r="BB32">
        <v>12.414999999999999</v>
      </c>
      <c r="BC32">
        <v>12.657999999999999</v>
      </c>
      <c r="BD32">
        <v>0.18099999999999999</v>
      </c>
      <c r="BE32">
        <f t="shared" si="5"/>
        <v>18.099999999999998</v>
      </c>
      <c r="BF32" s="1">
        <f t="shared" si="27"/>
        <v>0.99999999999999645</v>
      </c>
      <c r="BG32" s="1">
        <f t="shared" si="28"/>
        <v>0.99999999999999289</v>
      </c>
      <c r="BH32" s="1">
        <f t="shared" si="29"/>
        <v>5.8479532163742576E-2</v>
      </c>
      <c r="BJ32">
        <v>30</v>
      </c>
      <c r="BK32">
        <v>12.34</v>
      </c>
      <c r="BL32">
        <v>12.746</v>
      </c>
      <c r="BM32">
        <v>0.187</v>
      </c>
      <c r="BN32">
        <f t="shared" si="6"/>
        <v>18.7</v>
      </c>
      <c r="BO32" s="1">
        <f t="shared" si="30"/>
        <v>1.5999999999999979</v>
      </c>
      <c r="BP32" s="1">
        <f t="shared" si="31"/>
        <v>2.5599999999999934</v>
      </c>
      <c r="BQ32" s="1">
        <f t="shared" si="32"/>
        <v>9.3567251461988077E-2</v>
      </c>
      <c r="BS32">
        <v>30</v>
      </c>
      <c r="BT32">
        <v>12.137</v>
      </c>
      <c r="BU32">
        <v>12.91</v>
      </c>
      <c r="BV32">
        <v>0.16700000000000001</v>
      </c>
      <c r="BW32">
        <f t="shared" si="7"/>
        <v>16.7</v>
      </c>
      <c r="BX32" s="1">
        <f t="shared" si="33"/>
        <v>-0.40000000000000213</v>
      </c>
      <c r="BY32" s="1">
        <f t="shared" si="34"/>
        <v>0.1600000000000017</v>
      </c>
      <c r="BZ32" s="1">
        <f t="shared" si="35"/>
        <v>-2.3391812865497186E-2</v>
      </c>
      <c r="CB32">
        <v>30</v>
      </c>
      <c r="CC32">
        <v>12.442</v>
      </c>
      <c r="CD32">
        <v>12.627000000000001</v>
      </c>
      <c r="CE32">
        <v>0.17599999999999999</v>
      </c>
      <c r="CF32">
        <f t="shared" si="8"/>
        <v>17.599999999999998</v>
      </c>
      <c r="CG32" s="1">
        <f t="shared" si="36"/>
        <v>0.49999999999999645</v>
      </c>
      <c r="CH32" s="1">
        <f t="shared" si="37"/>
        <v>0.24999999999999645</v>
      </c>
      <c r="CI32" s="1">
        <f t="shared" si="38"/>
        <v>2.9239766081871066E-2</v>
      </c>
      <c r="CK32">
        <v>30</v>
      </c>
      <c r="CL32">
        <v>12.343</v>
      </c>
      <c r="CM32">
        <v>12.744</v>
      </c>
      <c r="CN32">
        <v>0.16500000000000001</v>
      </c>
      <c r="CO32">
        <f t="shared" si="9"/>
        <v>16.5</v>
      </c>
      <c r="CP32" s="1">
        <f t="shared" si="39"/>
        <v>-0.60000000000000142</v>
      </c>
      <c r="CQ32" s="1">
        <f t="shared" si="40"/>
        <v>0.36000000000000171</v>
      </c>
      <c r="CR32" s="1">
        <f t="shared" si="41"/>
        <v>-3.5087719298245723E-2</v>
      </c>
    </row>
    <row r="33" spans="1:96" x14ac:dyDescent="0.3">
      <c r="A33">
        <v>7.7370000000000001</v>
      </c>
      <c r="B33">
        <v>15.609</v>
      </c>
      <c r="C33">
        <v>31</v>
      </c>
      <c r="D33">
        <v>0.223</v>
      </c>
      <c r="E33">
        <f t="shared" si="10"/>
        <v>22.3</v>
      </c>
      <c r="F33">
        <f t="shared" si="11"/>
        <v>0.20300000000000001</v>
      </c>
      <c r="G33">
        <v>31</v>
      </c>
      <c r="H33">
        <v>8.0210000000000008</v>
      </c>
      <c r="I33">
        <v>15.471</v>
      </c>
      <c r="J33">
        <v>0.23100000000000001</v>
      </c>
      <c r="K33">
        <f t="shared" si="0"/>
        <v>23.1</v>
      </c>
      <c r="L33" s="1">
        <f t="shared" si="12"/>
        <v>0.80000000000000071</v>
      </c>
      <c r="M33" s="1">
        <f t="shared" si="13"/>
        <v>0.64000000000000112</v>
      </c>
      <c r="N33" s="1">
        <f t="shared" si="14"/>
        <v>3.5874439461883512E-2</v>
      </c>
      <c r="O33">
        <v>0.23100000000000001</v>
      </c>
      <c r="Q33">
        <v>31</v>
      </c>
      <c r="R33">
        <v>7.952</v>
      </c>
      <c r="S33">
        <v>15.492000000000001</v>
      </c>
      <c r="T33">
        <v>0.22800000000000001</v>
      </c>
      <c r="U33">
        <f t="shared" si="1"/>
        <v>22.8</v>
      </c>
      <c r="V33" s="1">
        <f t="shared" si="15"/>
        <v>0.5</v>
      </c>
      <c r="W33" s="1">
        <f t="shared" si="16"/>
        <v>0.25</v>
      </c>
      <c r="X33" s="1">
        <f t="shared" si="17"/>
        <v>2.2421524663677195E-2</v>
      </c>
      <c r="Z33">
        <v>31</v>
      </c>
      <c r="AA33">
        <v>8.0039999999999996</v>
      </c>
      <c r="AB33">
        <v>15.471</v>
      </c>
      <c r="AC33">
        <v>0.21199999999999999</v>
      </c>
      <c r="AD33">
        <f t="shared" si="42"/>
        <v>21.2</v>
      </c>
      <c r="AE33" s="1">
        <f t="shared" si="43"/>
        <v>-1.1000000000000014</v>
      </c>
      <c r="AF33" s="1">
        <f t="shared" si="44"/>
        <v>1.2100000000000031</v>
      </c>
      <c r="AG33" s="1">
        <f t="shared" si="20"/>
        <v>-4.9327354260089717E-2</v>
      </c>
      <c r="AI33">
        <v>31</v>
      </c>
      <c r="AJ33">
        <v>7.891</v>
      </c>
      <c r="AK33">
        <v>15.531000000000001</v>
      </c>
      <c r="AL33">
        <v>0.224</v>
      </c>
      <c r="AM33">
        <f t="shared" si="3"/>
        <v>22.400000000000002</v>
      </c>
      <c r="AN33" s="1">
        <f t="shared" si="21"/>
        <v>0.10000000000000142</v>
      </c>
      <c r="AO33" s="1">
        <f t="shared" si="22"/>
        <v>1.0000000000000285E-2</v>
      </c>
      <c r="AP33" s="1">
        <f t="shared" si="23"/>
        <v>4.484304932735439E-3</v>
      </c>
      <c r="AR33">
        <v>31</v>
      </c>
      <c r="AS33">
        <v>8.0020000000000007</v>
      </c>
      <c r="AT33">
        <v>15.468</v>
      </c>
      <c r="AU33">
        <v>0.22700000000000001</v>
      </c>
      <c r="AV33">
        <f t="shared" si="4"/>
        <v>22.7</v>
      </c>
      <c r="AW33" s="1">
        <f t="shared" si="24"/>
        <v>0.39999999999999858</v>
      </c>
      <c r="AX33" s="1">
        <f t="shared" si="25"/>
        <v>0.15999999999999887</v>
      </c>
      <c r="AY33" s="1">
        <f t="shared" si="26"/>
        <v>1.7937219730941534E-2</v>
      </c>
      <c r="BA33">
        <v>31</v>
      </c>
      <c r="BB33">
        <v>8.1059999999999999</v>
      </c>
      <c r="BC33">
        <v>15.419</v>
      </c>
      <c r="BD33">
        <v>0.22900000000000001</v>
      </c>
      <c r="BE33">
        <f t="shared" si="5"/>
        <v>22.900000000000002</v>
      </c>
      <c r="BF33" s="1">
        <f t="shared" si="27"/>
        <v>0.60000000000000142</v>
      </c>
      <c r="BG33" s="1">
        <f t="shared" si="28"/>
        <v>0.36000000000000171</v>
      </c>
      <c r="BH33" s="1">
        <f t="shared" si="29"/>
        <v>2.6905829596412634E-2</v>
      </c>
      <c r="BJ33">
        <v>31</v>
      </c>
      <c r="BK33">
        <v>8.0250000000000004</v>
      </c>
      <c r="BL33">
        <v>15.489000000000001</v>
      </c>
      <c r="BM33">
        <v>0.23100000000000001</v>
      </c>
      <c r="BN33">
        <f t="shared" si="6"/>
        <v>23.1</v>
      </c>
      <c r="BO33" s="1">
        <f t="shared" si="30"/>
        <v>0.80000000000000071</v>
      </c>
      <c r="BP33" s="1">
        <f t="shared" si="31"/>
        <v>0.64000000000000112</v>
      </c>
      <c r="BQ33" s="1">
        <f t="shared" si="32"/>
        <v>3.5874439461883512E-2</v>
      </c>
      <c r="BS33">
        <v>31</v>
      </c>
      <c r="BT33">
        <v>7.81</v>
      </c>
      <c r="BU33">
        <v>15.584</v>
      </c>
      <c r="BV33">
        <v>0.16900000000000001</v>
      </c>
      <c r="BW33">
        <f t="shared" si="7"/>
        <v>16.900000000000002</v>
      </c>
      <c r="BX33" s="1">
        <f t="shared" si="33"/>
        <v>-5.3999999999999986</v>
      </c>
      <c r="BY33" s="1">
        <f t="shared" si="34"/>
        <v>29.159999999999986</v>
      </c>
      <c r="BZ33" s="1">
        <f t="shared" si="35"/>
        <v>-0.24215246636771293</v>
      </c>
      <c r="CB33">
        <v>31</v>
      </c>
      <c r="CC33">
        <v>8.1820000000000004</v>
      </c>
      <c r="CD33">
        <v>15.381</v>
      </c>
      <c r="CE33">
        <v>0.159</v>
      </c>
      <c r="CF33">
        <f t="shared" si="8"/>
        <v>15.9</v>
      </c>
      <c r="CG33" s="1">
        <f t="shared" si="36"/>
        <v>-6.4</v>
      </c>
      <c r="CH33" s="1">
        <f t="shared" si="37"/>
        <v>40.960000000000008</v>
      </c>
      <c r="CI33" s="1">
        <f t="shared" si="38"/>
        <v>-0.28699551569506732</v>
      </c>
      <c r="CK33">
        <v>31</v>
      </c>
      <c r="CL33">
        <v>8.0210000000000008</v>
      </c>
      <c r="CM33">
        <v>15.471</v>
      </c>
      <c r="CN33">
        <v>0.218</v>
      </c>
      <c r="CO33">
        <f t="shared" si="9"/>
        <v>21.8</v>
      </c>
      <c r="CP33" s="1">
        <f t="shared" si="39"/>
        <v>-0.5</v>
      </c>
      <c r="CQ33" s="1">
        <f t="shared" si="40"/>
        <v>0.25</v>
      </c>
      <c r="CR33" s="1">
        <f t="shared" si="41"/>
        <v>-2.2421524663677084E-2</v>
      </c>
    </row>
    <row r="34" spans="1:96" x14ac:dyDescent="0.3">
      <c r="A34">
        <v>15.742000000000001</v>
      </c>
      <c r="B34">
        <v>9</v>
      </c>
      <c r="C34">
        <v>32</v>
      </c>
      <c r="D34">
        <v>0.379</v>
      </c>
      <c r="E34">
        <f t="shared" si="10"/>
        <v>37.9</v>
      </c>
      <c r="F34">
        <f t="shared" si="11"/>
        <v>0.35899999999999999</v>
      </c>
      <c r="G34">
        <v>32</v>
      </c>
      <c r="H34">
        <v>15.907</v>
      </c>
      <c r="I34">
        <v>8.7189999999999994</v>
      </c>
      <c r="J34">
        <v>0.38800000000000001</v>
      </c>
      <c r="K34">
        <f t="shared" si="0"/>
        <v>38.800000000000004</v>
      </c>
      <c r="L34" s="1">
        <f t="shared" si="12"/>
        <v>0.90000000000000568</v>
      </c>
      <c r="M34" s="1">
        <f t="shared" si="13"/>
        <v>0.81000000000001027</v>
      </c>
      <c r="N34" s="1">
        <f t="shared" si="14"/>
        <v>2.3746701846965923E-2</v>
      </c>
      <c r="O34">
        <v>0.38800000000000001</v>
      </c>
      <c r="Q34">
        <v>32</v>
      </c>
      <c r="R34">
        <v>15.863</v>
      </c>
      <c r="S34">
        <v>8.77</v>
      </c>
      <c r="T34">
        <v>0.372</v>
      </c>
      <c r="U34">
        <f t="shared" si="1"/>
        <v>37.200000000000003</v>
      </c>
      <c r="V34" s="1">
        <f t="shared" si="15"/>
        <v>-0.69999999999999574</v>
      </c>
      <c r="W34" s="1">
        <f t="shared" si="16"/>
        <v>0.48999999999999405</v>
      </c>
      <c r="X34" s="1">
        <f t="shared" si="17"/>
        <v>-1.846965699208436E-2</v>
      </c>
      <c r="Z34">
        <v>32</v>
      </c>
      <c r="AA34">
        <v>15.898999999999999</v>
      </c>
      <c r="AB34">
        <v>8.7080000000000002</v>
      </c>
      <c r="AC34">
        <v>0.38600000000000001</v>
      </c>
      <c r="AD34">
        <f t="shared" si="42"/>
        <v>38.6</v>
      </c>
      <c r="AE34" s="1">
        <f t="shared" si="43"/>
        <v>0.70000000000000284</v>
      </c>
      <c r="AF34" s="1">
        <f t="shared" si="44"/>
        <v>0.49000000000000399</v>
      </c>
      <c r="AG34" s="1">
        <f t="shared" si="20"/>
        <v>1.8469656992084582E-2</v>
      </c>
      <c r="AI34">
        <v>32</v>
      </c>
      <c r="AJ34">
        <v>15.821</v>
      </c>
      <c r="AK34">
        <v>8.8450000000000006</v>
      </c>
      <c r="AL34">
        <v>0.37</v>
      </c>
      <c r="AM34">
        <f t="shared" si="3"/>
        <v>37</v>
      </c>
      <c r="AN34" s="1">
        <f t="shared" si="21"/>
        <v>-0.89999999999999858</v>
      </c>
      <c r="AO34" s="1">
        <f t="shared" si="22"/>
        <v>0.80999999999999739</v>
      </c>
      <c r="AP34" s="1">
        <f t="shared" si="23"/>
        <v>-2.3746701846965701E-2</v>
      </c>
      <c r="AR34">
        <v>32</v>
      </c>
      <c r="AS34">
        <v>15.875999999999999</v>
      </c>
      <c r="AT34">
        <v>8.7370000000000001</v>
      </c>
      <c r="AU34">
        <v>0.374</v>
      </c>
      <c r="AV34">
        <f t="shared" si="4"/>
        <v>37.4</v>
      </c>
      <c r="AW34" s="1">
        <f t="shared" si="24"/>
        <v>-0.5</v>
      </c>
      <c r="AX34" s="1">
        <f t="shared" si="25"/>
        <v>0.25</v>
      </c>
      <c r="AY34" s="1">
        <f t="shared" si="26"/>
        <v>-1.319261213720313E-2</v>
      </c>
      <c r="BA34">
        <v>32</v>
      </c>
      <c r="BB34">
        <v>15.955</v>
      </c>
      <c r="BC34">
        <v>8.6219999999999999</v>
      </c>
      <c r="BD34">
        <v>0.4</v>
      </c>
      <c r="BE34">
        <f t="shared" si="5"/>
        <v>40</v>
      </c>
      <c r="BF34" s="1">
        <f t="shared" si="27"/>
        <v>2.1000000000000014</v>
      </c>
      <c r="BG34" s="1">
        <f t="shared" si="28"/>
        <v>4.4100000000000064</v>
      </c>
      <c r="BH34" s="1">
        <f t="shared" si="29"/>
        <v>5.5408970976253302E-2</v>
      </c>
      <c r="BJ34">
        <v>32</v>
      </c>
      <c r="BK34">
        <v>15.901</v>
      </c>
      <c r="BL34">
        <v>8.7230000000000008</v>
      </c>
      <c r="BM34">
        <v>0.39400000000000002</v>
      </c>
      <c r="BN34">
        <f t="shared" si="6"/>
        <v>39.4</v>
      </c>
      <c r="BO34" s="1">
        <f t="shared" si="30"/>
        <v>1.5</v>
      </c>
      <c r="BP34" s="1">
        <f t="shared" si="31"/>
        <v>2.25</v>
      </c>
      <c r="BQ34" s="1">
        <f t="shared" si="32"/>
        <v>3.9577836411609502E-2</v>
      </c>
      <c r="BS34">
        <v>32</v>
      </c>
      <c r="BT34">
        <v>15.765000000000001</v>
      </c>
      <c r="BU34">
        <v>8.9550000000000001</v>
      </c>
      <c r="BV34">
        <v>0.39300000000000002</v>
      </c>
      <c r="BW34">
        <f t="shared" si="7"/>
        <v>39.300000000000004</v>
      </c>
      <c r="BX34" s="1">
        <f t="shared" si="33"/>
        <v>1.4000000000000057</v>
      </c>
      <c r="BY34" s="1">
        <f t="shared" si="34"/>
        <v>1.960000000000016</v>
      </c>
      <c r="BZ34" s="1">
        <f t="shared" si="35"/>
        <v>3.6939313984168942E-2</v>
      </c>
      <c r="CB34">
        <v>32</v>
      </c>
      <c r="CC34">
        <v>15.972</v>
      </c>
      <c r="CD34">
        <v>8.57</v>
      </c>
      <c r="CE34">
        <v>0.38600000000000001</v>
      </c>
      <c r="CF34">
        <f t="shared" si="8"/>
        <v>38.6</v>
      </c>
      <c r="CG34" s="1">
        <f t="shared" si="36"/>
        <v>0.70000000000000284</v>
      </c>
      <c r="CH34" s="1">
        <f t="shared" si="37"/>
        <v>0.49000000000000399</v>
      </c>
      <c r="CI34" s="1">
        <f t="shared" si="38"/>
        <v>1.8469656992084582E-2</v>
      </c>
      <c r="CK34">
        <v>32</v>
      </c>
      <c r="CL34">
        <v>15.907</v>
      </c>
      <c r="CM34">
        <v>8.7189999999999994</v>
      </c>
      <c r="CN34">
        <v>0.36199999999999999</v>
      </c>
      <c r="CO34">
        <f t="shared" si="9"/>
        <v>36.199999999999996</v>
      </c>
      <c r="CP34" s="1">
        <f t="shared" si="39"/>
        <v>-1.7000000000000028</v>
      </c>
      <c r="CQ34" s="1">
        <f t="shared" si="40"/>
        <v>2.8900000000000095</v>
      </c>
      <c r="CR34" s="1">
        <f t="shared" si="41"/>
        <v>-4.4854881266490843E-2</v>
      </c>
    </row>
    <row r="35" spans="1:96" x14ac:dyDescent="0.3">
      <c r="A35">
        <v>19.678999999999998</v>
      </c>
      <c r="B35">
        <v>12.766</v>
      </c>
      <c r="C35">
        <v>33</v>
      </c>
      <c r="D35">
        <v>0.34499999999999997</v>
      </c>
      <c r="E35">
        <f t="shared" si="10"/>
        <v>34.5</v>
      </c>
      <c r="F35">
        <f t="shared" si="11"/>
        <v>0.32499999999999996</v>
      </c>
      <c r="G35">
        <v>33</v>
      </c>
      <c r="H35">
        <v>19.920999999999999</v>
      </c>
      <c r="I35">
        <v>12.411</v>
      </c>
      <c r="J35">
        <v>0.36199999999999999</v>
      </c>
      <c r="K35">
        <f t="shared" si="0"/>
        <v>36.199999999999996</v>
      </c>
      <c r="L35" s="1">
        <f t="shared" si="12"/>
        <v>1.6999999999999957</v>
      </c>
      <c r="M35" s="1">
        <f t="shared" si="13"/>
        <v>2.8899999999999855</v>
      </c>
      <c r="N35" s="1">
        <f t="shared" si="14"/>
        <v>4.9275362318840443E-2</v>
      </c>
      <c r="O35">
        <v>0.36199999999999999</v>
      </c>
      <c r="Q35">
        <v>33</v>
      </c>
      <c r="R35">
        <v>19.875</v>
      </c>
      <c r="S35">
        <v>12.459</v>
      </c>
      <c r="T35">
        <v>0.33500000000000002</v>
      </c>
      <c r="U35">
        <f t="shared" si="1"/>
        <v>33.5</v>
      </c>
      <c r="V35" s="1">
        <f t="shared" si="15"/>
        <v>-1</v>
      </c>
      <c r="W35" s="1">
        <f t="shared" si="16"/>
        <v>1</v>
      </c>
      <c r="X35" s="1">
        <f t="shared" si="17"/>
        <v>-2.8985507246376829E-2</v>
      </c>
      <c r="Z35">
        <v>33</v>
      </c>
      <c r="AA35">
        <v>19.916</v>
      </c>
      <c r="AB35">
        <v>12.398</v>
      </c>
      <c r="AC35">
        <v>0.36599999999999999</v>
      </c>
      <c r="AD35">
        <f t="shared" si="42"/>
        <v>36.6</v>
      </c>
      <c r="AE35" s="1">
        <f t="shared" si="43"/>
        <v>2.1000000000000014</v>
      </c>
      <c r="AF35" s="1">
        <f t="shared" si="44"/>
        <v>4.4100000000000064</v>
      </c>
      <c r="AG35" s="1">
        <f t="shared" si="20"/>
        <v>6.0869565217391397E-2</v>
      </c>
      <c r="AI35">
        <v>33</v>
      </c>
      <c r="AJ35">
        <v>19.805</v>
      </c>
      <c r="AK35">
        <v>12.547000000000001</v>
      </c>
      <c r="AL35">
        <v>0.35599999999999998</v>
      </c>
      <c r="AM35">
        <f t="shared" si="3"/>
        <v>35.6</v>
      </c>
      <c r="AN35" s="1">
        <f t="shared" si="21"/>
        <v>1.1000000000000014</v>
      </c>
      <c r="AO35" s="1">
        <f t="shared" si="22"/>
        <v>1.2100000000000031</v>
      </c>
      <c r="AP35" s="1">
        <f t="shared" si="23"/>
        <v>3.1884057971014457E-2</v>
      </c>
      <c r="AR35">
        <v>33</v>
      </c>
      <c r="AS35">
        <v>19.928999999999998</v>
      </c>
      <c r="AT35">
        <v>12.407</v>
      </c>
      <c r="AU35">
        <v>0.35699999999999998</v>
      </c>
      <c r="AV35">
        <f t="shared" si="4"/>
        <v>35.699999999999996</v>
      </c>
      <c r="AW35" s="1">
        <f t="shared" si="24"/>
        <v>1.1999999999999957</v>
      </c>
      <c r="AX35" s="1">
        <f t="shared" si="25"/>
        <v>1.4399999999999897</v>
      </c>
      <c r="AY35" s="1">
        <f t="shared" si="26"/>
        <v>3.4782608695651973E-2</v>
      </c>
      <c r="BA35">
        <v>33</v>
      </c>
      <c r="BB35">
        <v>19.98</v>
      </c>
      <c r="BC35">
        <v>12.276999999999999</v>
      </c>
      <c r="BD35">
        <v>0.34</v>
      </c>
      <c r="BE35">
        <f t="shared" si="5"/>
        <v>34</v>
      </c>
      <c r="BF35" s="1">
        <f t="shared" si="27"/>
        <v>-0.5</v>
      </c>
      <c r="BG35" s="1">
        <f t="shared" si="28"/>
        <v>0.25</v>
      </c>
      <c r="BH35" s="1">
        <f t="shared" si="29"/>
        <v>-1.4492753623188359E-2</v>
      </c>
      <c r="BJ35">
        <v>33</v>
      </c>
      <c r="BK35">
        <v>19.937000000000001</v>
      </c>
      <c r="BL35">
        <v>12.398999999999999</v>
      </c>
      <c r="BM35">
        <v>0.35299999999999998</v>
      </c>
      <c r="BN35">
        <f t="shared" si="6"/>
        <v>35.299999999999997</v>
      </c>
      <c r="BO35" s="1">
        <f t="shared" si="30"/>
        <v>0.79999999999999716</v>
      </c>
      <c r="BP35" s="1">
        <f t="shared" si="31"/>
        <v>0.63999999999999546</v>
      </c>
      <c r="BQ35" s="1">
        <f t="shared" si="32"/>
        <v>2.3188405797101463E-2</v>
      </c>
      <c r="BS35">
        <v>33</v>
      </c>
      <c r="BT35">
        <v>19.742999999999999</v>
      </c>
      <c r="BU35">
        <v>12.692</v>
      </c>
      <c r="BV35">
        <v>0.35099999999999998</v>
      </c>
      <c r="BW35">
        <f t="shared" si="7"/>
        <v>35.099999999999994</v>
      </c>
      <c r="BX35" s="1">
        <f t="shared" si="33"/>
        <v>0.59999999999999432</v>
      </c>
      <c r="BY35" s="1">
        <f t="shared" si="34"/>
        <v>0.35999999999999316</v>
      </c>
      <c r="BZ35" s="1">
        <f t="shared" si="35"/>
        <v>1.7391304347825987E-2</v>
      </c>
      <c r="CB35">
        <v>33</v>
      </c>
      <c r="CC35">
        <v>20.018999999999998</v>
      </c>
      <c r="CD35">
        <v>12.211</v>
      </c>
      <c r="CE35">
        <v>0.36199999999999999</v>
      </c>
      <c r="CF35">
        <f t="shared" si="8"/>
        <v>36.199999999999996</v>
      </c>
      <c r="CG35" s="1">
        <f t="shared" si="36"/>
        <v>1.6999999999999957</v>
      </c>
      <c r="CH35" s="1">
        <f t="shared" si="37"/>
        <v>2.8899999999999855</v>
      </c>
      <c r="CI35" s="1">
        <f t="shared" si="38"/>
        <v>4.9275362318840443E-2</v>
      </c>
      <c r="CK35">
        <v>33</v>
      </c>
      <c r="CL35">
        <v>19.920999999999999</v>
      </c>
      <c r="CM35">
        <v>12.411</v>
      </c>
      <c r="CN35">
        <v>0.315</v>
      </c>
      <c r="CO35">
        <f t="shared" si="9"/>
        <v>31.5</v>
      </c>
      <c r="CP35" s="1">
        <f t="shared" si="39"/>
        <v>-3</v>
      </c>
      <c r="CQ35" s="1">
        <f t="shared" si="40"/>
        <v>9</v>
      </c>
      <c r="CR35" s="1">
        <f t="shared" si="41"/>
        <v>-8.6956521739130488E-2</v>
      </c>
    </row>
    <row r="36" spans="1:96" x14ac:dyDescent="0.3">
      <c r="A36">
        <v>19.657</v>
      </c>
      <c r="B36">
        <v>8.7899999999999991</v>
      </c>
      <c r="C36">
        <v>34</v>
      </c>
      <c r="D36">
        <v>0.187</v>
      </c>
      <c r="E36">
        <f t="shared" si="10"/>
        <v>18.7</v>
      </c>
      <c r="F36">
        <f t="shared" si="11"/>
        <v>0.16700000000000001</v>
      </c>
      <c r="G36">
        <v>34</v>
      </c>
      <c r="H36">
        <v>19.815000000000001</v>
      </c>
      <c r="I36">
        <v>8.4510000000000005</v>
      </c>
      <c r="J36">
        <v>0.188</v>
      </c>
      <c r="K36">
        <f t="shared" si="0"/>
        <v>18.8</v>
      </c>
      <c r="L36" s="1">
        <f t="shared" si="12"/>
        <v>0.10000000000000142</v>
      </c>
      <c r="M36" s="1">
        <f t="shared" si="13"/>
        <v>1.0000000000000285E-2</v>
      </c>
      <c r="N36" s="1">
        <f t="shared" si="14"/>
        <v>5.3475935828877219E-3</v>
      </c>
      <c r="O36">
        <v>0.188</v>
      </c>
      <c r="Q36">
        <v>34</v>
      </c>
      <c r="R36">
        <v>19.771000000000001</v>
      </c>
      <c r="S36">
        <v>8.5009999999999994</v>
      </c>
      <c r="T36">
        <v>0.19600000000000001</v>
      </c>
      <c r="U36">
        <f t="shared" si="1"/>
        <v>19.600000000000001</v>
      </c>
      <c r="V36" s="1">
        <f t="shared" si="15"/>
        <v>0.90000000000000213</v>
      </c>
      <c r="W36" s="1">
        <f t="shared" si="16"/>
        <v>0.81000000000000383</v>
      </c>
      <c r="X36" s="1">
        <f t="shared" si="17"/>
        <v>4.8128342245989497E-2</v>
      </c>
      <c r="Z36">
        <v>34</v>
      </c>
      <c r="AA36">
        <v>19.795000000000002</v>
      </c>
      <c r="AB36">
        <v>8.43</v>
      </c>
      <c r="AC36">
        <v>0.20200000000000001</v>
      </c>
      <c r="AD36">
        <f t="shared" si="42"/>
        <v>20.200000000000003</v>
      </c>
      <c r="AE36" s="1">
        <f t="shared" si="43"/>
        <v>1.5000000000000036</v>
      </c>
      <c r="AF36" s="1">
        <f t="shared" si="44"/>
        <v>2.2500000000000107</v>
      </c>
      <c r="AG36" s="1">
        <f t="shared" si="20"/>
        <v>8.0213903743315607E-2</v>
      </c>
      <c r="AI36">
        <v>34</v>
      </c>
      <c r="AJ36">
        <v>19.718</v>
      </c>
      <c r="AK36">
        <v>8.5939999999999994</v>
      </c>
      <c r="AL36">
        <v>0.184</v>
      </c>
      <c r="AM36">
        <f t="shared" si="3"/>
        <v>18.399999999999999</v>
      </c>
      <c r="AN36" s="1">
        <f t="shared" si="21"/>
        <v>-0.30000000000000071</v>
      </c>
      <c r="AO36" s="1">
        <f t="shared" si="22"/>
        <v>9.0000000000000427E-2</v>
      </c>
      <c r="AP36" s="1">
        <f t="shared" si="23"/>
        <v>-1.6042780748663166E-2</v>
      </c>
      <c r="AR36">
        <v>34</v>
      </c>
      <c r="AS36">
        <v>19.785</v>
      </c>
      <c r="AT36">
        <v>8.4570000000000007</v>
      </c>
      <c r="AU36">
        <v>0.186</v>
      </c>
      <c r="AV36">
        <f t="shared" si="4"/>
        <v>18.600000000000001</v>
      </c>
      <c r="AW36" s="1">
        <f t="shared" si="24"/>
        <v>-9.9999999999997868E-2</v>
      </c>
      <c r="AX36" s="1">
        <f t="shared" si="25"/>
        <v>9.9999999999995735E-3</v>
      </c>
      <c r="AY36" s="1">
        <f t="shared" si="26"/>
        <v>-5.3475935828876109E-3</v>
      </c>
      <c r="BA36">
        <v>34</v>
      </c>
      <c r="BB36">
        <v>19.841999999999999</v>
      </c>
      <c r="BC36">
        <v>8.3130000000000006</v>
      </c>
      <c r="BD36">
        <v>0.19900000000000001</v>
      </c>
      <c r="BE36">
        <f t="shared" si="5"/>
        <v>19.900000000000002</v>
      </c>
      <c r="BF36" s="1">
        <f t="shared" si="27"/>
        <v>1.2000000000000028</v>
      </c>
      <c r="BG36" s="1">
        <f t="shared" si="28"/>
        <v>1.4400000000000068</v>
      </c>
      <c r="BH36" s="1">
        <f t="shared" si="29"/>
        <v>6.4171122994652663E-2</v>
      </c>
      <c r="BJ36">
        <v>34</v>
      </c>
      <c r="BK36">
        <v>19.797999999999998</v>
      </c>
      <c r="BL36">
        <v>8.4469999999999992</v>
      </c>
      <c r="BM36">
        <v>0.19700000000000001</v>
      </c>
      <c r="BN36">
        <f t="shared" si="6"/>
        <v>19.7</v>
      </c>
      <c r="BO36" s="1">
        <f t="shared" si="30"/>
        <v>1</v>
      </c>
      <c r="BP36" s="1">
        <f t="shared" si="31"/>
        <v>1</v>
      </c>
      <c r="BQ36" s="1">
        <f t="shared" si="32"/>
        <v>5.3475935828876997E-2</v>
      </c>
      <c r="BS36">
        <v>34</v>
      </c>
      <c r="BT36">
        <v>19.683</v>
      </c>
      <c r="BU36">
        <v>8.7260000000000009</v>
      </c>
      <c r="BV36">
        <v>0.20499999999999999</v>
      </c>
      <c r="BW36">
        <f t="shared" si="7"/>
        <v>20.5</v>
      </c>
      <c r="BX36" s="1">
        <f t="shared" si="33"/>
        <v>1.8000000000000007</v>
      </c>
      <c r="BY36" s="1">
        <f t="shared" si="34"/>
        <v>3.2400000000000024</v>
      </c>
      <c r="BZ36" s="1">
        <f t="shared" si="35"/>
        <v>9.625668449197855E-2</v>
      </c>
      <c r="CB36">
        <v>34</v>
      </c>
      <c r="CC36">
        <v>19.869</v>
      </c>
      <c r="CD36">
        <v>8.2680000000000007</v>
      </c>
      <c r="CE36">
        <v>0.17399999999999999</v>
      </c>
      <c r="CF36">
        <f t="shared" si="8"/>
        <v>17.399999999999999</v>
      </c>
      <c r="CG36" s="1">
        <f t="shared" si="36"/>
        <v>-1.3000000000000007</v>
      </c>
      <c r="CH36" s="1">
        <f t="shared" si="37"/>
        <v>1.6900000000000019</v>
      </c>
      <c r="CI36" s="1">
        <f t="shared" si="38"/>
        <v>-6.9518716577540163E-2</v>
      </c>
      <c r="CK36">
        <v>34</v>
      </c>
      <c r="CL36">
        <v>19.815000000000001</v>
      </c>
      <c r="CM36">
        <v>8.4510000000000005</v>
      </c>
      <c r="CN36">
        <v>0.20799999999999999</v>
      </c>
      <c r="CO36">
        <f t="shared" si="9"/>
        <v>20.8</v>
      </c>
      <c r="CP36" s="1">
        <f t="shared" si="39"/>
        <v>2.1000000000000014</v>
      </c>
      <c r="CQ36" s="1">
        <f t="shared" si="40"/>
        <v>4.4100000000000064</v>
      </c>
      <c r="CR36" s="1">
        <f t="shared" si="41"/>
        <v>0.11229946524064172</v>
      </c>
    </row>
    <row r="37" spans="1:96" x14ac:dyDescent="0.3">
      <c r="A37">
        <v>17.710999999999999</v>
      </c>
      <c r="B37">
        <v>8.843</v>
      </c>
      <c r="C37">
        <v>35</v>
      </c>
      <c r="D37">
        <v>0.29199999999999998</v>
      </c>
      <c r="E37">
        <f t="shared" si="10"/>
        <v>29.2</v>
      </c>
      <c r="F37">
        <f t="shared" si="11"/>
        <v>0.27199999999999996</v>
      </c>
      <c r="G37">
        <v>35</v>
      </c>
      <c r="H37">
        <v>17.870999999999999</v>
      </c>
      <c r="I37">
        <v>8.5310000000000006</v>
      </c>
      <c r="J37">
        <v>0.30299999999999999</v>
      </c>
      <c r="K37">
        <f t="shared" si="0"/>
        <v>30.3</v>
      </c>
      <c r="L37" s="1">
        <f t="shared" si="12"/>
        <v>1.1000000000000014</v>
      </c>
      <c r="M37" s="1">
        <f t="shared" si="13"/>
        <v>1.2100000000000031</v>
      </c>
      <c r="N37" s="1">
        <f t="shared" si="14"/>
        <v>3.7671232876712368E-2</v>
      </c>
      <c r="O37">
        <v>0.30299999999999999</v>
      </c>
      <c r="Q37">
        <v>35</v>
      </c>
      <c r="R37">
        <v>17.831</v>
      </c>
      <c r="S37">
        <v>8.59</v>
      </c>
      <c r="T37">
        <v>0.28899999999999998</v>
      </c>
      <c r="U37">
        <f t="shared" si="1"/>
        <v>28.9</v>
      </c>
      <c r="V37" s="1">
        <f t="shared" si="15"/>
        <v>-0.30000000000000071</v>
      </c>
      <c r="W37" s="1">
        <f t="shared" si="16"/>
        <v>9.0000000000000427E-2</v>
      </c>
      <c r="X37" s="1">
        <f t="shared" si="17"/>
        <v>-1.0273972602739767E-2</v>
      </c>
      <c r="Z37">
        <v>35</v>
      </c>
      <c r="AA37">
        <v>17.86</v>
      </c>
      <c r="AB37">
        <v>8.5169999999999995</v>
      </c>
      <c r="AC37">
        <v>0.311</v>
      </c>
      <c r="AD37">
        <f t="shared" si="42"/>
        <v>31.1</v>
      </c>
      <c r="AE37" s="1">
        <f t="shared" si="43"/>
        <v>1.9000000000000021</v>
      </c>
      <c r="AF37" s="1">
        <f t="shared" si="44"/>
        <v>3.6100000000000083</v>
      </c>
      <c r="AG37" s="1">
        <f t="shared" si="20"/>
        <v>6.5068493150685081E-2</v>
      </c>
      <c r="AI37">
        <v>35</v>
      </c>
      <c r="AJ37">
        <v>17.779</v>
      </c>
      <c r="AK37">
        <v>8.6679999999999993</v>
      </c>
      <c r="AL37">
        <v>0.27900000000000003</v>
      </c>
      <c r="AM37">
        <f t="shared" si="3"/>
        <v>27.900000000000002</v>
      </c>
      <c r="AN37" s="1">
        <f t="shared" si="21"/>
        <v>-1.2999999999999972</v>
      </c>
      <c r="AO37" s="1">
        <f t="shared" si="22"/>
        <v>1.6899999999999926</v>
      </c>
      <c r="AP37" s="1">
        <f t="shared" si="23"/>
        <v>-4.4520547945205435E-2</v>
      </c>
      <c r="AR37">
        <v>35</v>
      </c>
      <c r="AS37">
        <v>17.844999999999999</v>
      </c>
      <c r="AT37">
        <v>8.5449999999999999</v>
      </c>
      <c r="AU37">
        <v>0.313</v>
      </c>
      <c r="AV37">
        <f t="shared" si="4"/>
        <v>31.3</v>
      </c>
      <c r="AW37" s="1">
        <f t="shared" si="24"/>
        <v>2.1000000000000014</v>
      </c>
      <c r="AX37" s="1">
        <f t="shared" si="25"/>
        <v>4.4100000000000064</v>
      </c>
      <c r="AY37" s="1">
        <f t="shared" si="26"/>
        <v>7.1917808219178037E-2</v>
      </c>
      <c r="BA37">
        <v>35</v>
      </c>
      <c r="BB37">
        <v>17.911000000000001</v>
      </c>
      <c r="BC37">
        <v>8.4120000000000008</v>
      </c>
      <c r="BD37">
        <v>0.30199999999999999</v>
      </c>
      <c r="BE37">
        <f t="shared" si="5"/>
        <v>30.2</v>
      </c>
      <c r="BF37" s="1">
        <f t="shared" si="27"/>
        <v>1</v>
      </c>
      <c r="BG37" s="1">
        <f t="shared" si="28"/>
        <v>1</v>
      </c>
      <c r="BH37" s="1">
        <f t="shared" si="29"/>
        <v>3.4246575342465668E-2</v>
      </c>
      <c r="BJ37">
        <v>35</v>
      </c>
      <c r="BK37">
        <v>17.856000000000002</v>
      </c>
      <c r="BL37">
        <v>8.5280000000000005</v>
      </c>
      <c r="BM37">
        <v>0.30499999999999999</v>
      </c>
      <c r="BN37">
        <f t="shared" si="6"/>
        <v>30.5</v>
      </c>
      <c r="BO37" s="1">
        <f t="shared" si="30"/>
        <v>1.3000000000000007</v>
      </c>
      <c r="BP37" s="1">
        <f t="shared" si="31"/>
        <v>1.6900000000000019</v>
      </c>
      <c r="BQ37" s="1">
        <f t="shared" si="32"/>
        <v>4.4520547945205546E-2</v>
      </c>
      <c r="BS37">
        <v>35</v>
      </c>
      <c r="BT37">
        <v>17.728000000000002</v>
      </c>
      <c r="BU37">
        <v>8.7789999999999999</v>
      </c>
      <c r="BV37">
        <v>0.30099999999999999</v>
      </c>
      <c r="BW37">
        <f t="shared" si="7"/>
        <v>30.099999999999998</v>
      </c>
      <c r="BX37" s="1">
        <f t="shared" si="33"/>
        <v>0.89999999999999858</v>
      </c>
      <c r="BY37" s="1">
        <f t="shared" si="34"/>
        <v>0.80999999999999739</v>
      </c>
      <c r="BZ37" s="1">
        <f t="shared" si="35"/>
        <v>3.082191780821919E-2</v>
      </c>
      <c r="CB37">
        <v>35</v>
      </c>
      <c r="CC37">
        <v>17.943999999999999</v>
      </c>
      <c r="CD37">
        <v>8.3569999999999993</v>
      </c>
      <c r="CE37">
        <v>0.28899999999999998</v>
      </c>
      <c r="CF37">
        <f t="shared" si="8"/>
        <v>28.9</v>
      </c>
      <c r="CG37" s="1">
        <f t="shared" si="36"/>
        <v>-0.30000000000000071</v>
      </c>
      <c r="CH37" s="1">
        <f t="shared" si="37"/>
        <v>9.0000000000000427E-2</v>
      </c>
      <c r="CI37" s="1">
        <f t="shared" si="38"/>
        <v>-1.0273972602739767E-2</v>
      </c>
      <c r="CK37">
        <v>35</v>
      </c>
      <c r="CL37">
        <v>17.870999999999999</v>
      </c>
      <c r="CM37">
        <v>8.5310000000000006</v>
      </c>
      <c r="CN37">
        <v>0.246</v>
      </c>
      <c r="CO37">
        <f t="shared" si="9"/>
        <v>24.6</v>
      </c>
      <c r="CP37" s="1">
        <f t="shared" si="39"/>
        <v>-4.5999999999999979</v>
      </c>
      <c r="CQ37" s="1">
        <f t="shared" si="40"/>
        <v>21.159999999999979</v>
      </c>
      <c r="CR37" s="1">
        <f t="shared" si="41"/>
        <v>-0.15753424657534243</v>
      </c>
    </row>
    <row r="38" spans="1:96" x14ac:dyDescent="0.3">
      <c r="A38">
        <v>21.702000000000002</v>
      </c>
      <c r="B38">
        <v>8.6210000000000004</v>
      </c>
      <c r="C38">
        <v>36</v>
      </c>
      <c r="D38">
        <v>0.26900000000000002</v>
      </c>
      <c r="E38">
        <f t="shared" si="10"/>
        <v>26.900000000000002</v>
      </c>
      <c r="F38">
        <f t="shared" si="11"/>
        <v>0.24900000000000003</v>
      </c>
      <c r="G38">
        <v>36</v>
      </c>
      <c r="H38">
        <v>21.870999999999999</v>
      </c>
      <c r="I38">
        <v>8.234</v>
      </c>
      <c r="J38">
        <v>0.253</v>
      </c>
      <c r="K38">
        <f t="shared" si="0"/>
        <v>25.3</v>
      </c>
      <c r="L38" s="1">
        <f t="shared" si="12"/>
        <v>-1.6000000000000014</v>
      </c>
      <c r="M38" s="1">
        <f t="shared" si="13"/>
        <v>2.5600000000000045</v>
      </c>
      <c r="N38" s="1">
        <f t="shared" si="14"/>
        <v>-5.9479553903345805E-2</v>
      </c>
      <c r="O38">
        <v>0.253</v>
      </c>
      <c r="Q38">
        <v>36</v>
      </c>
      <c r="R38">
        <v>21.806999999999999</v>
      </c>
      <c r="S38">
        <v>8.3109999999999999</v>
      </c>
      <c r="T38">
        <v>0.27200000000000002</v>
      </c>
      <c r="U38">
        <f t="shared" si="1"/>
        <v>27.200000000000003</v>
      </c>
      <c r="V38" s="1">
        <f t="shared" si="15"/>
        <v>0.30000000000000071</v>
      </c>
      <c r="W38" s="1">
        <f t="shared" si="16"/>
        <v>9.0000000000000427E-2</v>
      </c>
      <c r="X38" s="1">
        <f t="shared" si="17"/>
        <v>1.1152416356877248E-2</v>
      </c>
      <c r="Z38">
        <v>36</v>
      </c>
      <c r="AA38">
        <v>21.847000000000001</v>
      </c>
      <c r="AB38">
        <v>8.2279999999999998</v>
      </c>
      <c r="AC38">
        <v>0.27600000000000002</v>
      </c>
      <c r="AD38">
        <f t="shared" si="42"/>
        <v>27.6</v>
      </c>
      <c r="AE38" s="1">
        <f t="shared" si="43"/>
        <v>0.69999999999999929</v>
      </c>
      <c r="AF38" s="1">
        <f t="shared" si="44"/>
        <v>0.48999999999999899</v>
      </c>
      <c r="AG38" s="1">
        <f t="shared" si="20"/>
        <v>2.6022304832713727E-2</v>
      </c>
      <c r="AI38">
        <v>36</v>
      </c>
      <c r="AJ38">
        <v>21.774000000000001</v>
      </c>
      <c r="AK38">
        <v>8.4079999999999995</v>
      </c>
      <c r="AL38">
        <v>0.25700000000000001</v>
      </c>
      <c r="AM38">
        <f t="shared" si="3"/>
        <v>25.7</v>
      </c>
      <c r="AN38" s="1">
        <f t="shared" si="21"/>
        <v>-1.2000000000000028</v>
      </c>
      <c r="AO38" s="1">
        <f t="shared" si="22"/>
        <v>1.4400000000000068</v>
      </c>
      <c r="AP38" s="1">
        <f t="shared" si="23"/>
        <v>-4.4609665427509437E-2</v>
      </c>
      <c r="AR38">
        <v>36</v>
      </c>
      <c r="AS38">
        <v>21.824000000000002</v>
      </c>
      <c r="AT38">
        <v>8.2460000000000004</v>
      </c>
      <c r="AU38">
        <v>0.26200000000000001</v>
      </c>
      <c r="AV38">
        <f t="shared" si="4"/>
        <v>26.200000000000003</v>
      </c>
      <c r="AW38" s="1">
        <f t="shared" si="24"/>
        <v>-0.69999999999999929</v>
      </c>
      <c r="AX38" s="1">
        <f t="shared" si="25"/>
        <v>0.48999999999999899</v>
      </c>
      <c r="AY38" s="1">
        <f t="shared" si="26"/>
        <v>-2.6022304832713727E-2</v>
      </c>
      <c r="BA38">
        <v>36</v>
      </c>
      <c r="BB38">
        <v>21.891999999999999</v>
      </c>
      <c r="BC38">
        <v>8.0820000000000007</v>
      </c>
      <c r="BD38">
        <v>0.28100000000000003</v>
      </c>
      <c r="BE38">
        <f t="shared" si="5"/>
        <v>28.1</v>
      </c>
      <c r="BF38" s="1">
        <f t="shared" si="27"/>
        <v>1.1999999999999993</v>
      </c>
      <c r="BG38" s="1">
        <f t="shared" si="28"/>
        <v>1.4399999999999984</v>
      </c>
      <c r="BH38" s="1">
        <f t="shared" si="29"/>
        <v>4.4609665427509215E-2</v>
      </c>
      <c r="BJ38">
        <v>36</v>
      </c>
      <c r="BK38">
        <v>21.847999999999999</v>
      </c>
      <c r="BL38">
        <v>8.24</v>
      </c>
      <c r="BM38">
        <v>0.27400000000000002</v>
      </c>
      <c r="BN38">
        <f t="shared" si="6"/>
        <v>27.400000000000002</v>
      </c>
      <c r="BO38" s="1">
        <f t="shared" si="30"/>
        <v>0.5</v>
      </c>
      <c r="BP38" s="1">
        <f t="shared" si="31"/>
        <v>0.25</v>
      </c>
      <c r="BQ38" s="1">
        <f t="shared" si="32"/>
        <v>1.8587360594795488E-2</v>
      </c>
      <c r="BS38">
        <v>36</v>
      </c>
      <c r="BT38">
        <v>21.713000000000001</v>
      </c>
      <c r="BU38">
        <v>8.5640000000000001</v>
      </c>
      <c r="BV38">
        <v>0.27</v>
      </c>
      <c r="BW38">
        <f t="shared" si="7"/>
        <v>27</v>
      </c>
      <c r="BX38" s="1">
        <f t="shared" si="33"/>
        <v>9.9999999999997868E-2</v>
      </c>
      <c r="BY38" s="1">
        <f t="shared" si="34"/>
        <v>9.9999999999995735E-3</v>
      </c>
      <c r="BZ38" s="1">
        <f t="shared" si="35"/>
        <v>3.7174721189590088E-3</v>
      </c>
      <c r="CB38">
        <v>36</v>
      </c>
      <c r="CC38">
        <v>21.917000000000002</v>
      </c>
      <c r="CD38">
        <v>8.032</v>
      </c>
      <c r="CE38">
        <v>0.26300000000000001</v>
      </c>
      <c r="CF38">
        <f t="shared" si="8"/>
        <v>26.3</v>
      </c>
      <c r="CG38" s="1">
        <f t="shared" si="36"/>
        <v>-0.60000000000000142</v>
      </c>
      <c r="CH38" s="1">
        <f t="shared" si="37"/>
        <v>0.36000000000000171</v>
      </c>
      <c r="CI38" s="1">
        <f t="shared" si="38"/>
        <v>-2.2304832713754719E-2</v>
      </c>
      <c r="CK38">
        <v>36</v>
      </c>
      <c r="CL38">
        <v>21.870999999999999</v>
      </c>
      <c r="CM38">
        <v>8.234</v>
      </c>
      <c r="CN38">
        <v>0.28499999999999998</v>
      </c>
      <c r="CO38">
        <f t="shared" si="9"/>
        <v>28.499999999999996</v>
      </c>
      <c r="CP38" s="1">
        <f t="shared" si="39"/>
        <v>1.5999999999999943</v>
      </c>
      <c r="CQ38" s="1">
        <f t="shared" si="40"/>
        <v>2.5599999999999818</v>
      </c>
      <c r="CR38" s="1">
        <f t="shared" si="41"/>
        <v>5.9479553903345472E-2</v>
      </c>
    </row>
    <row r="39" spans="1:96" x14ac:dyDescent="0.3">
      <c r="A39">
        <v>21.736999999999998</v>
      </c>
      <c r="B39">
        <v>12.581</v>
      </c>
      <c r="C39">
        <v>37</v>
      </c>
      <c r="D39">
        <v>0.15</v>
      </c>
      <c r="E39">
        <f t="shared" si="10"/>
        <v>15</v>
      </c>
      <c r="F39">
        <f t="shared" si="11"/>
        <v>0.13</v>
      </c>
      <c r="G39">
        <v>37</v>
      </c>
      <c r="H39">
        <v>21.962</v>
      </c>
      <c r="I39">
        <v>12.193</v>
      </c>
      <c r="J39">
        <v>0.156</v>
      </c>
      <c r="K39">
        <f t="shared" si="0"/>
        <v>15.6</v>
      </c>
      <c r="L39" s="1">
        <f t="shared" si="12"/>
        <v>0.59999999999999964</v>
      </c>
      <c r="M39" s="1">
        <f t="shared" si="13"/>
        <v>0.3599999999999996</v>
      </c>
      <c r="N39" s="1">
        <f t="shared" si="14"/>
        <v>4.0000000000000036E-2</v>
      </c>
      <c r="O39">
        <v>0.156</v>
      </c>
      <c r="Q39">
        <v>37</v>
      </c>
      <c r="R39">
        <v>21.908999999999999</v>
      </c>
      <c r="S39">
        <v>12.259</v>
      </c>
      <c r="T39">
        <v>0.14699999999999999</v>
      </c>
      <c r="U39">
        <f t="shared" si="1"/>
        <v>14.7</v>
      </c>
      <c r="V39" s="1">
        <f t="shared" si="15"/>
        <v>-0.30000000000000071</v>
      </c>
      <c r="W39" s="1">
        <f t="shared" si="16"/>
        <v>9.0000000000000427E-2</v>
      </c>
      <c r="X39" s="1">
        <f t="shared" si="17"/>
        <v>-2.0000000000000018E-2</v>
      </c>
      <c r="Z39">
        <v>37</v>
      </c>
      <c r="AA39">
        <v>21.957000000000001</v>
      </c>
      <c r="AB39">
        <v>12.18</v>
      </c>
      <c r="AC39">
        <v>0.153</v>
      </c>
      <c r="AD39">
        <f t="shared" si="42"/>
        <v>15.299999999999999</v>
      </c>
      <c r="AE39" s="1">
        <f t="shared" si="43"/>
        <v>0.29999999999999893</v>
      </c>
      <c r="AF39" s="1">
        <f t="shared" si="44"/>
        <v>8.9999999999999358E-2</v>
      </c>
      <c r="AG39" s="1">
        <f t="shared" si="20"/>
        <v>2.0000000000000018E-2</v>
      </c>
      <c r="AI39">
        <v>37</v>
      </c>
      <c r="AJ39">
        <v>21.849</v>
      </c>
      <c r="AK39">
        <v>12.365</v>
      </c>
      <c r="AL39">
        <v>0.158</v>
      </c>
      <c r="AM39">
        <f t="shared" si="3"/>
        <v>15.8</v>
      </c>
      <c r="AN39" s="1">
        <f t="shared" si="21"/>
        <v>0.80000000000000071</v>
      </c>
      <c r="AO39" s="1">
        <f t="shared" si="22"/>
        <v>0.64000000000000112</v>
      </c>
      <c r="AP39" s="1">
        <f t="shared" si="23"/>
        <v>5.3333333333333455E-2</v>
      </c>
      <c r="AR39">
        <v>37</v>
      </c>
      <c r="AS39">
        <v>21.936</v>
      </c>
      <c r="AT39">
        <v>12.202</v>
      </c>
      <c r="AU39">
        <v>0.154</v>
      </c>
      <c r="AV39">
        <f t="shared" si="4"/>
        <v>15.4</v>
      </c>
      <c r="AW39" s="1">
        <f t="shared" si="24"/>
        <v>0.40000000000000036</v>
      </c>
      <c r="AX39" s="1">
        <f t="shared" si="25"/>
        <v>0.16000000000000028</v>
      </c>
      <c r="AY39" s="1">
        <f t="shared" si="26"/>
        <v>2.6666666666666616E-2</v>
      </c>
      <c r="BA39">
        <v>37</v>
      </c>
      <c r="BB39">
        <v>22.016999999999999</v>
      </c>
      <c r="BC39">
        <v>12.042999999999999</v>
      </c>
      <c r="BD39">
        <v>0.16500000000000001</v>
      </c>
      <c r="BE39">
        <f t="shared" si="5"/>
        <v>16.5</v>
      </c>
      <c r="BF39" s="1">
        <f t="shared" si="27"/>
        <v>1.5</v>
      </c>
      <c r="BG39" s="1">
        <f t="shared" si="28"/>
        <v>2.25</v>
      </c>
      <c r="BH39" s="1">
        <f t="shared" si="29"/>
        <v>0.10000000000000009</v>
      </c>
      <c r="BJ39">
        <v>37</v>
      </c>
      <c r="BK39">
        <v>21.963000000000001</v>
      </c>
      <c r="BL39">
        <v>12.183</v>
      </c>
      <c r="BM39">
        <v>0.16400000000000001</v>
      </c>
      <c r="BN39">
        <f t="shared" si="6"/>
        <v>16.400000000000002</v>
      </c>
      <c r="BO39" s="1">
        <f t="shared" si="30"/>
        <v>1.4000000000000021</v>
      </c>
      <c r="BP39" s="1">
        <f t="shared" si="31"/>
        <v>1.960000000000006</v>
      </c>
      <c r="BQ39" s="1">
        <f t="shared" si="32"/>
        <v>9.333333333333349E-2</v>
      </c>
      <c r="BS39">
        <v>37</v>
      </c>
      <c r="BT39">
        <v>21.766999999999999</v>
      </c>
      <c r="BU39">
        <v>12.504</v>
      </c>
      <c r="BV39">
        <v>0.14499999999999999</v>
      </c>
      <c r="BW39">
        <f t="shared" si="7"/>
        <v>14.499999999999998</v>
      </c>
      <c r="BX39" s="1">
        <f t="shared" si="33"/>
        <v>-0.50000000000000178</v>
      </c>
      <c r="BY39" s="1">
        <f t="shared" si="34"/>
        <v>0.25000000000000178</v>
      </c>
      <c r="BZ39" s="1">
        <f t="shared" si="35"/>
        <v>-3.3333333333333437E-2</v>
      </c>
      <c r="CB39">
        <v>37</v>
      </c>
      <c r="CC39">
        <v>22.062000000000001</v>
      </c>
      <c r="CD39">
        <v>11.987</v>
      </c>
      <c r="CE39">
        <v>0.16600000000000001</v>
      </c>
      <c r="CF39">
        <f t="shared" si="8"/>
        <v>16.600000000000001</v>
      </c>
      <c r="CG39" s="1">
        <f t="shared" si="36"/>
        <v>1.6000000000000014</v>
      </c>
      <c r="CH39" s="1">
        <f t="shared" si="37"/>
        <v>2.5600000000000045</v>
      </c>
      <c r="CI39" s="1">
        <f t="shared" si="38"/>
        <v>0.10666666666666669</v>
      </c>
      <c r="CK39">
        <v>37</v>
      </c>
      <c r="CL39">
        <v>21.962</v>
      </c>
      <c r="CM39">
        <v>12.193</v>
      </c>
      <c r="CN39">
        <v>0.156</v>
      </c>
      <c r="CO39">
        <f t="shared" si="9"/>
        <v>15.6</v>
      </c>
      <c r="CP39" s="1">
        <f t="shared" si="39"/>
        <v>0.59999999999999964</v>
      </c>
      <c r="CQ39" s="1">
        <f t="shared" si="40"/>
        <v>0.3599999999999996</v>
      </c>
      <c r="CR39" s="1">
        <f t="shared" si="41"/>
        <v>4.0000000000000036E-2</v>
      </c>
    </row>
    <row r="40" spans="1:96" x14ac:dyDescent="0.3">
      <c r="A40">
        <v>15.845000000000001</v>
      </c>
      <c r="B40">
        <v>14.991</v>
      </c>
      <c r="C40">
        <v>38</v>
      </c>
      <c r="D40">
        <v>0.23100000000000001</v>
      </c>
      <c r="E40">
        <f t="shared" si="10"/>
        <v>23.1</v>
      </c>
      <c r="F40">
        <f t="shared" si="11"/>
        <v>0.21100000000000002</v>
      </c>
      <c r="G40">
        <v>38</v>
      </c>
      <c r="H40">
        <v>16.114000000000001</v>
      </c>
      <c r="I40">
        <v>14.72</v>
      </c>
      <c r="J40">
        <v>0.25700000000000001</v>
      </c>
      <c r="K40">
        <f t="shared" si="0"/>
        <v>25.7</v>
      </c>
      <c r="L40" s="1">
        <f t="shared" si="12"/>
        <v>2.5999999999999979</v>
      </c>
      <c r="M40" s="1">
        <f t="shared" si="13"/>
        <v>6.7599999999999891</v>
      </c>
      <c r="N40" s="1">
        <f t="shared" si="14"/>
        <v>0.11255411255411252</v>
      </c>
      <c r="O40">
        <v>0.25700000000000001</v>
      </c>
      <c r="Q40">
        <v>38</v>
      </c>
      <c r="R40">
        <v>16.036999999999999</v>
      </c>
      <c r="S40">
        <v>14.750999999999999</v>
      </c>
      <c r="T40">
        <v>0.22500000000000001</v>
      </c>
      <c r="U40">
        <f t="shared" si="1"/>
        <v>22.5</v>
      </c>
      <c r="V40" s="1">
        <f t="shared" si="15"/>
        <v>-0.60000000000000142</v>
      </c>
      <c r="W40" s="1">
        <f t="shared" si="16"/>
        <v>0.36000000000000171</v>
      </c>
      <c r="X40" s="1">
        <f t="shared" si="17"/>
        <v>-2.5974025974025983E-2</v>
      </c>
      <c r="Z40">
        <v>38</v>
      </c>
      <c r="AA40">
        <v>16.100999999999999</v>
      </c>
      <c r="AB40">
        <v>14.702</v>
      </c>
      <c r="AC40">
        <v>0.26800000000000002</v>
      </c>
      <c r="AD40">
        <f t="shared" si="42"/>
        <v>26.8</v>
      </c>
      <c r="AE40" s="1">
        <f t="shared" si="43"/>
        <v>3.6999999999999993</v>
      </c>
      <c r="AF40" s="1">
        <f t="shared" si="44"/>
        <v>13.689999999999994</v>
      </c>
      <c r="AG40" s="1">
        <f t="shared" si="20"/>
        <v>0.16017316017316019</v>
      </c>
      <c r="AI40">
        <v>38</v>
      </c>
      <c r="AJ40">
        <v>15.974</v>
      </c>
      <c r="AK40">
        <v>14.821</v>
      </c>
      <c r="AL40">
        <v>0.249</v>
      </c>
      <c r="AM40">
        <f t="shared" si="3"/>
        <v>24.9</v>
      </c>
      <c r="AN40" s="1">
        <f t="shared" si="21"/>
        <v>1.7999999999999972</v>
      </c>
      <c r="AO40" s="1">
        <f t="shared" si="22"/>
        <v>3.2399999999999896</v>
      </c>
      <c r="AP40" s="1">
        <f t="shared" si="23"/>
        <v>7.7922077922077726E-2</v>
      </c>
      <c r="AR40">
        <v>38</v>
      </c>
      <c r="AS40">
        <v>16.074999999999999</v>
      </c>
      <c r="AT40">
        <v>14.718999999999999</v>
      </c>
      <c r="AU40">
        <v>0.24399999999999999</v>
      </c>
      <c r="AV40">
        <f t="shared" si="4"/>
        <v>24.4</v>
      </c>
      <c r="AW40" s="1">
        <f t="shared" si="24"/>
        <v>1.2999999999999972</v>
      </c>
      <c r="AX40" s="1">
        <f t="shared" si="25"/>
        <v>1.6899999999999926</v>
      </c>
      <c r="AY40" s="1">
        <f t="shared" si="26"/>
        <v>5.6277056277056259E-2</v>
      </c>
      <c r="BA40">
        <v>38</v>
      </c>
      <c r="BB40">
        <v>16.192</v>
      </c>
      <c r="BC40">
        <v>14.590999999999999</v>
      </c>
      <c r="BD40">
        <v>0.23300000000000001</v>
      </c>
      <c r="BE40">
        <f t="shared" si="5"/>
        <v>23.3</v>
      </c>
      <c r="BF40" s="1">
        <f t="shared" si="27"/>
        <v>0.19999999999999929</v>
      </c>
      <c r="BG40" s="1">
        <f t="shared" si="28"/>
        <v>3.9999999999999716E-2</v>
      </c>
      <c r="BH40" s="1">
        <f t="shared" si="29"/>
        <v>8.6580086580085869E-3</v>
      </c>
      <c r="BJ40">
        <v>38</v>
      </c>
      <c r="BK40">
        <v>16.09</v>
      </c>
      <c r="BL40">
        <v>14.704000000000001</v>
      </c>
      <c r="BM40">
        <v>0.25</v>
      </c>
      <c r="BN40">
        <f t="shared" si="6"/>
        <v>25</v>
      </c>
      <c r="BO40" s="1">
        <f t="shared" si="30"/>
        <v>1.8999999999999986</v>
      </c>
      <c r="BP40" s="1">
        <f t="shared" si="31"/>
        <v>3.6099999999999945</v>
      </c>
      <c r="BQ40" s="1">
        <f t="shared" si="32"/>
        <v>8.2251082251082241E-2</v>
      </c>
      <c r="BS40">
        <v>38</v>
      </c>
      <c r="BT40">
        <v>15.877000000000001</v>
      </c>
      <c r="BU40">
        <v>14.936999999999999</v>
      </c>
      <c r="BV40">
        <v>0.22900000000000001</v>
      </c>
      <c r="BW40">
        <f t="shared" si="7"/>
        <v>22.900000000000002</v>
      </c>
      <c r="BX40" s="1">
        <f t="shared" si="33"/>
        <v>-0.19999999999999929</v>
      </c>
      <c r="BY40" s="1">
        <f t="shared" si="34"/>
        <v>3.9999999999999716E-2</v>
      </c>
      <c r="BZ40" s="1">
        <f t="shared" si="35"/>
        <v>-8.6580086580085869E-3</v>
      </c>
      <c r="CB40">
        <v>38</v>
      </c>
      <c r="CC40">
        <v>16.233000000000001</v>
      </c>
      <c r="CD40">
        <v>14.569000000000001</v>
      </c>
      <c r="CE40">
        <v>0.23400000000000001</v>
      </c>
      <c r="CF40">
        <f t="shared" si="8"/>
        <v>23.400000000000002</v>
      </c>
      <c r="CG40" s="1">
        <f t="shared" si="36"/>
        <v>0.30000000000000071</v>
      </c>
      <c r="CH40" s="1">
        <f t="shared" si="37"/>
        <v>9.0000000000000427E-2</v>
      </c>
      <c r="CI40" s="1">
        <f t="shared" si="38"/>
        <v>1.2987012987013102E-2</v>
      </c>
      <c r="CK40">
        <v>38</v>
      </c>
      <c r="CL40">
        <v>16.114000000000001</v>
      </c>
      <c r="CM40">
        <v>14.72</v>
      </c>
      <c r="CN40">
        <v>0.23499999999999999</v>
      </c>
      <c r="CO40">
        <f t="shared" si="9"/>
        <v>23.5</v>
      </c>
      <c r="CP40" s="1">
        <f t="shared" si="39"/>
        <v>0.39999999999999858</v>
      </c>
      <c r="CQ40" s="1">
        <f t="shared" si="40"/>
        <v>0.15999999999999887</v>
      </c>
      <c r="CR40" s="1">
        <f t="shared" si="41"/>
        <v>1.7316017316017174E-2</v>
      </c>
    </row>
    <row r="41" spans="1:96" x14ac:dyDescent="0.3">
      <c r="A41">
        <v>21.855</v>
      </c>
      <c r="B41">
        <v>14.635999999999999</v>
      </c>
      <c r="C41">
        <v>39</v>
      </c>
      <c r="D41">
        <v>0.54200000000000004</v>
      </c>
      <c r="E41">
        <f t="shared" si="10"/>
        <v>54.2</v>
      </c>
      <c r="F41">
        <f t="shared" si="11"/>
        <v>0.52200000000000002</v>
      </c>
      <c r="G41">
        <v>39</v>
      </c>
      <c r="H41">
        <v>22.11</v>
      </c>
      <c r="I41">
        <v>14.247999999999999</v>
      </c>
      <c r="J41">
        <v>0.54</v>
      </c>
      <c r="K41">
        <f t="shared" si="0"/>
        <v>54</v>
      </c>
      <c r="L41" s="1">
        <f t="shared" si="12"/>
        <v>-0.20000000000000284</v>
      </c>
      <c r="M41" s="1">
        <f t="shared" si="13"/>
        <v>4.0000000000001139E-2</v>
      </c>
      <c r="N41" s="1">
        <f t="shared" si="14"/>
        <v>-3.6900369003690647E-3</v>
      </c>
      <c r="O41">
        <v>0.54</v>
      </c>
      <c r="Q41">
        <v>39</v>
      </c>
      <c r="R41">
        <v>22.05</v>
      </c>
      <c r="S41">
        <v>14.305</v>
      </c>
      <c r="T41">
        <v>0.52600000000000002</v>
      </c>
      <c r="U41">
        <f t="shared" si="1"/>
        <v>52.6</v>
      </c>
      <c r="V41" s="1">
        <f t="shared" si="15"/>
        <v>-1.6000000000000014</v>
      </c>
      <c r="W41" s="1">
        <f t="shared" si="16"/>
        <v>2.5600000000000045</v>
      </c>
      <c r="X41" s="1">
        <f t="shared" si="17"/>
        <v>-2.9520295202952074E-2</v>
      </c>
      <c r="Z41">
        <v>39</v>
      </c>
      <c r="AA41">
        <v>22.13</v>
      </c>
      <c r="AB41">
        <v>14.239000000000001</v>
      </c>
      <c r="AC41">
        <v>0.54700000000000004</v>
      </c>
      <c r="AD41">
        <f t="shared" si="42"/>
        <v>54.7</v>
      </c>
      <c r="AE41" s="1">
        <f t="shared" si="43"/>
        <v>0.5</v>
      </c>
      <c r="AF41" s="1">
        <f t="shared" si="44"/>
        <v>0.25</v>
      </c>
      <c r="AG41" s="1">
        <f t="shared" si="20"/>
        <v>9.2250922509224953E-3</v>
      </c>
      <c r="AI41">
        <v>39</v>
      </c>
      <c r="AJ41">
        <v>21.974</v>
      </c>
      <c r="AK41">
        <v>14.42</v>
      </c>
      <c r="AL41">
        <v>0.54300000000000004</v>
      </c>
      <c r="AM41">
        <f t="shared" si="3"/>
        <v>54.300000000000004</v>
      </c>
      <c r="AN41" s="1">
        <f t="shared" si="21"/>
        <v>0.10000000000000142</v>
      </c>
      <c r="AO41" s="1">
        <f t="shared" si="22"/>
        <v>1.0000000000000285E-2</v>
      </c>
      <c r="AP41" s="1">
        <f t="shared" si="23"/>
        <v>1.8450184501845879E-3</v>
      </c>
      <c r="AR41">
        <v>39</v>
      </c>
      <c r="AS41">
        <v>22.076000000000001</v>
      </c>
      <c r="AT41">
        <v>14.259</v>
      </c>
      <c r="AU41">
        <v>0.53700000000000003</v>
      </c>
      <c r="AV41">
        <f t="shared" si="4"/>
        <v>53.7</v>
      </c>
      <c r="AW41" s="1">
        <f t="shared" si="24"/>
        <v>-0.5</v>
      </c>
      <c r="AX41" s="1">
        <f t="shared" si="25"/>
        <v>0.25</v>
      </c>
      <c r="AY41" s="1">
        <f t="shared" si="26"/>
        <v>-9.2250922509224953E-3</v>
      </c>
      <c r="BA41">
        <v>39</v>
      </c>
      <c r="BB41">
        <v>22.170999999999999</v>
      </c>
      <c r="BC41">
        <v>14.057</v>
      </c>
      <c r="BD41">
        <v>0.48</v>
      </c>
      <c r="BE41">
        <f t="shared" si="5"/>
        <v>48</v>
      </c>
      <c r="BF41" s="1">
        <f t="shared" si="27"/>
        <v>-6.2000000000000028</v>
      </c>
      <c r="BG41" s="1">
        <f t="shared" si="28"/>
        <v>38.440000000000033</v>
      </c>
      <c r="BH41" s="1">
        <f t="shared" si="29"/>
        <v>-0.11439114391143912</v>
      </c>
      <c r="BJ41">
        <v>39</v>
      </c>
      <c r="BK41">
        <v>22.091000000000001</v>
      </c>
      <c r="BL41">
        <v>14.222</v>
      </c>
      <c r="BM41">
        <v>0.59499999999999997</v>
      </c>
      <c r="BN41">
        <f t="shared" si="6"/>
        <v>59.5</v>
      </c>
      <c r="BO41" s="1">
        <f t="shared" si="30"/>
        <v>5.2999999999999972</v>
      </c>
      <c r="BP41" s="1">
        <f t="shared" si="31"/>
        <v>28.089999999999971</v>
      </c>
      <c r="BQ41" s="1">
        <f t="shared" si="32"/>
        <v>9.7785977859778495E-2</v>
      </c>
      <c r="BS41">
        <v>39</v>
      </c>
      <c r="BT41">
        <v>21.888000000000002</v>
      </c>
      <c r="BU41">
        <v>14.553000000000001</v>
      </c>
      <c r="BV41">
        <v>0.52</v>
      </c>
      <c r="BW41">
        <f t="shared" si="7"/>
        <v>52</v>
      </c>
      <c r="BX41" s="1">
        <f t="shared" si="33"/>
        <v>-2.2000000000000028</v>
      </c>
      <c r="BY41" s="1">
        <f t="shared" si="34"/>
        <v>4.8400000000000123</v>
      </c>
      <c r="BZ41" s="1">
        <f t="shared" si="35"/>
        <v>-4.0590405904059046E-2</v>
      </c>
      <c r="CB41">
        <v>39</v>
      </c>
      <c r="CC41">
        <v>22.209</v>
      </c>
      <c r="CD41">
        <v>14.038</v>
      </c>
      <c r="CE41">
        <v>0.53300000000000003</v>
      </c>
      <c r="CF41">
        <f t="shared" si="8"/>
        <v>53.300000000000004</v>
      </c>
      <c r="CG41" s="1">
        <f t="shared" si="36"/>
        <v>-0.89999999999999858</v>
      </c>
      <c r="CH41" s="1">
        <f t="shared" si="37"/>
        <v>0.80999999999999739</v>
      </c>
      <c r="CI41" s="1">
        <f t="shared" si="38"/>
        <v>-1.6605166051660514E-2</v>
      </c>
      <c r="CK41">
        <v>39</v>
      </c>
      <c r="CL41">
        <v>22.11</v>
      </c>
      <c r="CM41">
        <v>14.247999999999999</v>
      </c>
      <c r="CN41">
        <v>0.53600000000000003</v>
      </c>
      <c r="CO41">
        <f t="shared" si="9"/>
        <v>53.6</v>
      </c>
      <c r="CP41" s="1">
        <f t="shared" si="39"/>
        <v>-0.60000000000000142</v>
      </c>
      <c r="CQ41" s="1">
        <f t="shared" si="40"/>
        <v>0.36000000000000171</v>
      </c>
      <c r="CR41" s="1">
        <f t="shared" si="41"/>
        <v>-1.1070110701107083E-2</v>
      </c>
    </row>
    <row r="42" spans="1:96" x14ac:dyDescent="0.3">
      <c r="A42">
        <v>27.692</v>
      </c>
      <c r="B42">
        <v>6.3819999999999997</v>
      </c>
      <c r="C42">
        <v>40</v>
      </c>
      <c r="D42">
        <v>0.32700000000000001</v>
      </c>
      <c r="E42">
        <f t="shared" si="10"/>
        <v>32.700000000000003</v>
      </c>
      <c r="F42">
        <f t="shared" si="11"/>
        <v>0.307</v>
      </c>
      <c r="G42">
        <v>40</v>
      </c>
      <c r="H42">
        <v>27.783999999999999</v>
      </c>
      <c r="I42">
        <v>5.8810000000000002</v>
      </c>
      <c r="J42">
        <v>0.33600000000000002</v>
      </c>
      <c r="K42">
        <f t="shared" si="0"/>
        <v>33.6</v>
      </c>
      <c r="L42" s="1">
        <f t="shared" si="12"/>
        <v>0.89999999999999858</v>
      </c>
      <c r="M42" s="1">
        <f t="shared" si="13"/>
        <v>0.80999999999999739</v>
      </c>
      <c r="N42" s="1">
        <f t="shared" si="14"/>
        <v>2.7522935779816571E-2</v>
      </c>
      <c r="O42">
        <v>0.33600000000000002</v>
      </c>
      <c r="Q42">
        <v>40</v>
      </c>
      <c r="R42">
        <v>27.754999999999999</v>
      </c>
      <c r="S42">
        <v>5.9569999999999999</v>
      </c>
      <c r="T42">
        <v>0.28000000000000003</v>
      </c>
      <c r="U42">
        <f t="shared" si="1"/>
        <v>28.000000000000004</v>
      </c>
      <c r="V42" s="1">
        <f t="shared" si="15"/>
        <v>-4.6999999999999993</v>
      </c>
      <c r="W42" s="1">
        <f t="shared" si="16"/>
        <v>22.089999999999993</v>
      </c>
      <c r="X42" s="1">
        <f t="shared" si="17"/>
        <v>-0.14373088685015289</v>
      </c>
      <c r="Z42">
        <v>40</v>
      </c>
      <c r="AA42">
        <v>27.797000000000001</v>
      </c>
      <c r="AB42">
        <v>5.843</v>
      </c>
      <c r="AC42">
        <v>0.26</v>
      </c>
      <c r="AD42">
        <f t="shared" si="42"/>
        <v>26</v>
      </c>
      <c r="AE42" s="1">
        <f t="shared" si="43"/>
        <v>-6.7000000000000028</v>
      </c>
      <c r="AF42" s="1">
        <f t="shared" si="44"/>
        <v>44.890000000000036</v>
      </c>
      <c r="AG42" s="1">
        <f t="shared" si="20"/>
        <v>-0.2048929663608563</v>
      </c>
      <c r="AI42">
        <v>40</v>
      </c>
      <c r="AJ42">
        <v>27.738</v>
      </c>
      <c r="AK42">
        <v>6.0960000000000001</v>
      </c>
      <c r="AL42">
        <v>0.32500000000000001</v>
      </c>
      <c r="AM42">
        <f t="shared" si="3"/>
        <v>32.5</v>
      </c>
      <c r="AN42" s="1">
        <f t="shared" si="21"/>
        <v>-0.20000000000000284</v>
      </c>
      <c r="AO42" s="1">
        <f t="shared" si="22"/>
        <v>4.0000000000001139E-2</v>
      </c>
      <c r="AP42" s="1">
        <f t="shared" si="23"/>
        <v>-6.1162079510703737E-3</v>
      </c>
      <c r="AR42">
        <v>40</v>
      </c>
      <c r="AS42">
        <v>27.779</v>
      </c>
      <c r="AT42">
        <v>5.8890000000000002</v>
      </c>
      <c r="AU42">
        <v>0.34399999999999997</v>
      </c>
      <c r="AV42">
        <f t="shared" si="4"/>
        <v>34.4</v>
      </c>
      <c r="AW42" s="1">
        <f t="shared" si="24"/>
        <v>1.6999999999999957</v>
      </c>
      <c r="AX42" s="1">
        <f t="shared" si="25"/>
        <v>2.8899999999999855</v>
      </c>
      <c r="AY42" s="1">
        <f t="shared" si="26"/>
        <v>5.1987767584097622E-2</v>
      </c>
      <c r="BA42">
        <v>40</v>
      </c>
      <c r="BB42">
        <v>27.844000000000001</v>
      </c>
      <c r="BC42">
        <v>5.7009999999999996</v>
      </c>
      <c r="BD42">
        <v>0.36099999999999999</v>
      </c>
      <c r="BE42">
        <f t="shared" si="5"/>
        <v>36.1</v>
      </c>
      <c r="BF42" s="1">
        <f t="shared" si="27"/>
        <v>3.3999999999999986</v>
      </c>
      <c r="BG42" s="1">
        <f t="shared" si="28"/>
        <v>11.55999999999999</v>
      </c>
      <c r="BH42" s="1">
        <f t="shared" si="29"/>
        <v>0.10397553516819569</v>
      </c>
      <c r="BJ42">
        <v>40</v>
      </c>
      <c r="BK42">
        <v>27.831</v>
      </c>
      <c r="BL42">
        <v>5.899</v>
      </c>
      <c r="BM42">
        <v>0.34599999999999997</v>
      </c>
      <c r="BN42">
        <f t="shared" si="6"/>
        <v>34.599999999999994</v>
      </c>
      <c r="BO42" s="1">
        <f t="shared" si="30"/>
        <v>1.8999999999999915</v>
      </c>
      <c r="BP42" s="1">
        <f t="shared" si="31"/>
        <v>3.6099999999999675</v>
      </c>
      <c r="BQ42" s="1">
        <f t="shared" si="32"/>
        <v>5.8103975535167995E-2</v>
      </c>
      <c r="BS42">
        <v>40</v>
      </c>
      <c r="BT42">
        <v>27.620999999999999</v>
      </c>
      <c r="BU42">
        <v>6.3369999999999997</v>
      </c>
      <c r="BV42">
        <v>0.251</v>
      </c>
      <c r="BW42">
        <f t="shared" si="7"/>
        <v>25.1</v>
      </c>
      <c r="BX42" s="1">
        <f t="shared" si="33"/>
        <v>-7.6000000000000014</v>
      </c>
      <c r="BY42" s="1">
        <f t="shared" si="34"/>
        <v>57.760000000000019</v>
      </c>
      <c r="BZ42" s="1">
        <f t="shared" si="35"/>
        <v>-0.23241590214067276</v>
      </c>
      <c r="CB42">
        <v>40</v>
      </c>
      <c r="CC42">
        <v>27.81</v>
      </c>
      <c r="CD42">
        <v>5.6680000000000001</v>
      </c>
      <c r="CE42">
        <v>0.246</v>
      </c>
      <c r="CF42">
        <f t="shared" si="8"/>
        <v>24.6</v>
      </c>
      <c r="CG42" s="1">
        <f t="shared" si="36"/>
        <v>-8.1000000000000014</v>
      </c>
      <c r="CH42" s="1">
        <f t="shared" si="37"/>
        <v>65.610000000000028</v>
      </c>
      <c r="CI42" s="1">
        <f t="shared" si="38"/>
        <v>-0.24770642201834869</v>
      </c>
      <c r="CK42">
        <v>40</v>
      </c>
      <c r="CL42">
        <v>27.783999999999999</v>
      </c>
      <c r="CM42">
        <v>5.8810000000000002</v>
      </c>
      <c r="CN42">
        <v>0.248</v>
      </c>
      <c r="CO42">
        <f t="shared" si="9"/>
        <v>24.8</v>
      </c>
      <c r="CP42" s="1">
        <f t="shared" si="39"/>
        <v>-7.9000000000000021</v>
      </c>
      <c r="CQ42" s="1">
        <f t="shared" si="40"/>
        <v>62.410000000000032</v>
      </c>
      <c r="CR42" s="1">
        <f t="shared" si="41"/>
        <v>-0.24159021406727832</v>
      </c>
    </row>
    <row r="43" spans="1:96" x14ac:dyDescent="0.3">
      <c r="A43">
        <v>25.449000000000002</v>
      </c>
      <c r="B43">
        <v>10.327999999999999</v>
      </c>
      <c r="C43">
        <v>41</v>
      </c>
      <c r="D43">
        <v>0.46600000000000003</v>
      </c>
      <c r="E43">
        <f t="shared" si="10"/>
        <v>46.6</v>
      </c>
      <c r="F43">
        <f t="shared" si="11"/>
        <v>0.44600000000000001</v>
      </c>
      <c r="G43">
        <v>41</v>
      </c>
      <c r="H43">
        <v>25.666</v>
      </c>
      <c r="I43">
        <v>9.9580000000000002</v>
      </c>
      <c r="J43">
        <v>0.46899999999999997</v>
      </c>
      <c r="K43">
        <f t="shared" si="0"/>
        <v>46.9</v>
      </c>
      <c r="L43" s="1">
        <f t="shared" si="12"/>
        <v>0.29999999999999716</v>
      </c>
      <c r="M43" s="1">
        <f t="shared" si="13"/>
        <v>8.999999999999829E-2</v>
      </c>
      <c r="N43" s="1">
        <f t="shared" si="14"/>
        <v>6.4377682403433667E-3</v>
      </c>
      <c r="O43">
        <v>0.46899999999999997</v>
      </c>
      <c r="Q43">
        <v>41</v>
      </c>
      <c r="R43">
        <v>25.565999999999999</v>
      </c>
      <c r="S43">
        <v>9.9480000000000004</v>
      </c>
      <c r="T43">
        <v>0.44800000000000001</v>
      </c>
      <c r="U43">
        <f t="shared" si="1"/>
        <v>44.800000000000004</v>
      </c>
      <c r="V43" s="1">
        <f t="shared" si="15"/>
        <v>-1.7999999999999972</v>
      </c>
      <c r="W43" s="1">
        <f t="shared" si="16"/>
        <v>3.2399999999999896</v>
      </c>
      <c r="X43" s="1">
        <f t="shared" si="17"/>
        <v>-3.8626609442059978E-2</v>
      </c>
      <c r="Z43">
        <v>41</v>
      </c>
      <c r="AA43">
        <v>25.62</v>
      </c>
      <c r="AB43">
        <v>9.8469999999999995</v>
      </c>
      <c r="AC43">
        <v>0.48299999999999998</v>
      </c>
      <c r="AD43">
        <f t="shared" si="42"/>
        <v>48.3</v>
      </c>
      <c r="AE43" s="1">
        <f t="shared" si="43"/>
        <v>1.6999999999999957</v>
      </c>
      <c r="AF43" s="1">
        <f t="shared" si="44"/>
        <v>2.8899999999999855</v>
      </c>
      <c r="AG43" s="1">
        <f t="shared" si="20"/>
        <v>3.648068669527893E-2</v>
      </c>
      <c r="AI43">
        <v>41</v>
      </c>
      <c r="AJ43">
        <v>25.521999999999998</v>
      </c>
      <c r="AK43">
        <v>10.058999999999999</v>
      </c>
      <c r="AL43">
        <v>0.46200000000000002</v>
      </c>
      <c r="AM43">
        <f t="shared" si="3"/>
        <v>46.2</v>
      </c>
      <c r="AN43" s="1">
        <f t="shared" si="21"/>
        <v>-0.39999999999999858</v>
      </c>
      <c r="AO43" s="1">
        <f t="shared" si="22"/>
        <v>0.15999999999999887</v>
      </c>
      <c r="AP43" s="1">
        <f t="shared" si="23"/>
        <v>-8.5836909871244149E-3</v>
      </c>
      <c r="AR43">
        <v>41</v>
      </c>
      <c r="AS43">
        <v>25.6</v>
      </c>
      <c r="AT43">
        <v>9.891</v>
      </c>
      <c r="AU43">
        <v>0.48899999999999999</v>
      </c>
      <c r="AV43">
        <f t="shared" si="4"/>
        <v>48.9</v>
      </c>
      <c r="AW43" s="1">
        <f t="shared" si="24"/>
        <v>2.2999999999999972</v>
      </c>
      <c r="AX43" s="1">
        <f t="shared" si="25"/>
        <v>5.2899999999999867</v>
      </c>
      <c r="AY43" s="1">
        <f t="shared" si="26"/>
        <v>4.9356223175965663E-2</v>
      </c>
      <c r="BA43">
        <v>41</v>
      </c>
      <c r="BB43">
        <v>25.661000000000001</v>
      </c>
      <c r="BC43">
        <v>9.6769999999999996</v>
      </c>
      <c r="BD43">
        <v>0.45600000000000002</v>
      </c>
      <c r="BE43">
        <f t="shared" si="5"/>
        <v>45.6</v>
      </c>
      <c r="BF43" s="1">
        <f t="shared" si="27"/>
        <v>-1</v>
      </c>
      <c r="BG43" s="1">
        <f t="shared" si="28"/>
        <v>1</v>
      </c>
      <c r="BH43" s="1">
        <f t="shared" si="29"/>
        <v>-2.1459227467811148E-2</v>
      </c>
      <c r="BJ43">
        <v>41</v>
      </c>
      <c r="BK43">
        <v>25.617999999999999</v>
      </c>
      <c r="BL43">
        <v>9.8729999999999993</v>
      </c>
      <c r="BM43">
        <v>0.47499999999999998</v>
      </c>
      <c r="BN43">
        <f t="shared" si="6"/>
        <v>47.5</v>
      </c>
      <c r="BO43" s="1">
        <f t="shared" si="30"/>
        <v>0.89999999999999858</v>
      </c>
      <c r="BP43" s="1">
        <f t="shared" si="31"/>
        <v>0.80999999999999739</v>
      </c>
      <c r="BQ43" s="1">
        <f t="shared" si="32"/>
        <v>1.93133047210301E-2</v>
      </c>
      <c r="BS43">
        <v>41</v>
      </c>
      <c r="BT43">
        <v>25.48</v>
      </c>
      <c r="BU43">
        <v>10.246</v>
      </c>
      <c r="BV43">
        <v>0.46400000000000002</v>
      </c>
      <c r="BW43">
        <f t="shared" si="7"/>
        <v>46.400000000000006</v>
      </c>
      <c r="BX43" s="1">
        <f t="shared" si="33"/>
        <v>-0.19999999999999574</v>
      </c>
      <c r="BY43" s="1">
        <f t="shared" si="34"/>
        <v>3.9999999999998294E-2</v>
      </c>
      <c r="BZ43" s="1">
        <f t="shared" si="35"/>
        <v>-4.2918454935620964E-3</v>
      </c>
      <c r="CB43">
        <v>41</v>
      </c>
      <c r="CC43">
        <v>25.696999999999999</v>
      </c>
      <c r="CD43">
        <v>9.6270000000000007</v>
      </c>
      <c r="CE43">
        <v>0.51100000000000001</v>
      </c>
      <c r="CF43">
        <f t="shared" si="8"/>
        <v>51.1</v>
      </c>
      <c r="CG43" s="1">
        <f t="shared" si="36"/>
        <v>4.5</v>
      </c>
      <c r="CH43" s="1">
        <f t="shared" si="37"/>
        <v>20.25</v>
      </c>
      <c r="CI43" s="1">
        <f t="shared" si="38"/>
        <v>9.6566523605150278E-2</v>
      </c>
      <c r="CK43">
        <v>41</v>
      </c>
      <c r="CL43">
        <v>25.609000000000002</v>
      </c>
      <c r="CM43">
        <v>9.8699999999999992</v>
      </c>
      <c r="CN43">
        <v>0.443</v>
      </c>
      <c r="CO43">
        <f t="shared" si="9"/>
        <v>44.3</v>
      </c>
      <c r="CP43" s="1">
        <f t="shared" si="39"/>
        <v>-2.3000000000000043</v>
      </c>
      <c r="CQ43" s="1">
        <f t="shared" si="40"/>
        <v>5.2900000000000196</v>
      </c>
      <c r="CR43" s="1">
        <f t="shared" si="41"/>
        <v>-4.9356223175965774E-2</v>
      </c>
    </row>
    <row r="44" spans="1:96" x14ac:dyDescent="0.3">
      <c r="E44">
        <f>AVERAGE(E3:E43)</f>
        <v>27.241463414634143</v>
      </c>
      <c r="L44" s="1" cm="1">
        <f t="array" ref="L44">AVERAGE(ABS(L3:L43))</f>
        <v>0.85609756097560974</v>
      </c>
      <c r="M44" s="1">
        <f>SQRT(AVERAGE(M3:M43))</f>
        <v>1.0964465887361858</v>
      </c>
      <c r="N44" s="1" cm="1">
        <f t="array" ref="N44">AVERAGE(ABS(N18:N43))</f>
        <v>3.3912866191329036E-2</v>
      </c>
      <c r="V44" s="1" cm="1">
        <f t="array" ref="V44">AVERAGE(ABS(V3:V43))</f>
        <v>1.2463414634146344</v>
      </c>
      <c r="W44" s="1">
        <f>SQRT(AVERAGE(W3:W43))</f>
        <v>1.6663820895258938</v>
      </c>
      <c r="X44" s="1" cm="1">
        <f t="array" ref="X44">AVERAGE(ABS(X18:X43))</f>
        <v>4.0276379727399496E-2</v>
      </c>
      <c r="AE44" s="1" cm="1">
        <f t="array" ref="AE44">AVERAGE(ABS(AE3:AE43))</f>
        <v>1.6751219512195124</v>
      </c>
      <c r="AF44" s="1">
        <f>SQRT(AVERAGE(AF3:AF43))</f>
        <v>2.1517910860603511</v>
      </c>
      <c r="AG44" s="1" cm="1">
        <f t="array" ref="AG44">AVERAGE(ABS(AG18:AG43))</f>
        <v>6.433007353940999E-2</v>
      </c>
      <c r="AN44" s="1" cm="1">
        <f t="array" ref="AN44">AVERAGE(ABS(AN3:AN43))</f>
        <v>2.1999999999999997</v>
      </c>
      <c r="AO44" s="1">
        <f>SQRT(AVERAGE(AO3:AO43))</f>
        <v>4.794865139638139</v>
      </c>
      <c r="AP44" s="1" cm="1">
        <f t="array" ref="AP44">AVERAGE(ABS(AP18:AP43))</f>
        <v>8.6127902024292158E-2</v>
      </c>
      <c r="AW44" s="1" cm="1">
        <f t="array" ref="AW44">AVERAGE(ABS(AW3:AW43))</f>
        <v>2.2146341463414618</v>
      </c>
      <c r="AX44" s="1">
        <f>SQRT(AVERAGE(AX3:AX43))</f>
        <v>5.788634785761392</v>
      </c>
      <c r="AY44" s="1" cm="1">
        <f t="array" ref="AY44">AVERAGE(ABS(AY18:AY43))</f>
        <v>8.5866064080580007E-2</v>
      </c>
      <c r="BF44" s="1" cm="1">
        <f t="array" ref="BF44">AVERAGE(ABS(BF3:BF43))</f>
        <v>2.8707317073170731</v>
      </c>
      <c r="BG44" s="1">
        <f>SQRT(AVERAGE(BG3:BG43))</f>
        <v>7.1598303563497456</v>
      </c>
      <c r="BH44" s="1" cm="1">
        <f t="array" ref="BH44">AVERAGE(ABS(BH18:BH43))</f>
        <v>0.12892368957943542</v>
      </c>
      <c r="BO44" s="1" cm="1">
        <f t="array" ref="BO44">AVERAGE(ABS(BO3:BO43))</f>
        <v>2.7902439024390238</v>
      </c>
      <c r="BP44" s="1">
        <f>SQRT(AVERAGE(BP3:BP43))</f>
        <v>7.1404379178406554</v>
      </c>
      <c r="BQ44" s="1" cm="1">
        <f t="array" ref="BQ44">AVERAGE(ABS(BQ18:BQ43))</f>
        <v>0.12459203180405394</v>
      </c>
      <c r="BX44" s="1" cm="1">
        <f t="array" ref="BX44">AVERAGE(ABS(BX3:BX43))</f>
        <v>2.9390243902439011</v>
      </c>
      <c r="BY44" s="1">
        <f>SQRT(AVERAGE(BY3:BY43))</f>
        <v>7.2476573170484446</v>
      </c>
      <c r="BZ44" s="1" cm="1">
        <f t="array" ref="BZ44">AVERAGE(ABS(BZ18:BZ43))</f>
        <v>0.14004861161884186</v>
      </c>
      <c r="CG44" s="1" cm="1">
        <f t="array" ref="CG44">AVERAGE(ABS(CG3:CG43))</f>
        <v>3.651219512195123</v>
      </c>
      <c r="CH44" s="1">
        <f>SQRT(AVERAGE(CH3:CH43))</f>
        <v>7.5471687471237177</v>
      </c>
      <c r="CI44" s="1" cm="1">
        <f t="array" ref="CI44">AVERAGE(ABS(CI18:CI43))</f>
        <v>0.14301397776035923</v>
      </c>
      <c r="CP44" s="1" cm="1">
        <f t="array" ref="CP44">AVERAGE(ABS(CP3:CP43))</f>
        <v>3.9560975609756088</v>
      </c>
      <c r="CQ44" s="1">
        <f>SQRT(AVERAGE(CQ3:CQ43))</f>
        <v>7.6218236086878326</v>
      </c>
      <c r="CR44" s="1" cm="1">
        <f t="array" ref="CR44">AVERAGE(ABS(CR18:CR43))</f>
        <v>0.15857597182670713</v>
      </c>
    </row>
    <row r="45" spans="1:96" x14ac:dyDescent="0.3">
      <c r="L45" s="1"/>
      <c r="M45" s="1"/>
      <c r="N45" s="1"/>
      <c r="W45" s="1"/>
      <c r="X45" s="1"/>
      <c r="AF45" s="1"/>
      <c r="AG45" s="1"/>
    </row>
    <row r="50" spans="5:87" x14ac:dyDescent="0.3">
      <c r="E50">
        <v>27.241463414634143</v>
      </c>
      <c r="L50">
        <v>0.85609756097560974</v>
      </c>
      <c r="M50">
        <v>1.0964465887361858</v>
      </c>
      <c r="N50">
        <v>3.3912866191329036E-2</v>
      </c>
      <c r="O50" s="4">
        <f>100*N50</f>
        <v>3.3912866191329036</v>
      </c>
      <c r="P50" s="4">
        <v>0.85609756097560974</v>
      </c>
      <c r="Q50" s="4">
        <v>1.0964465887361858</v>
      </c>
      <c r="R50" s="4">
        <v>3.3912866191329036E-2</v>
      </c>
      <c r="AN50">
        <v>2.1999999999999997</v>
      </c>
      <c r="AO50">
        <v>4.794865139638139</v>
      </c>
      <c r="AP50">
        <v>8.6127902024292158E-2</v>
      </c>
      <c r="BF50">
        <v>2.8707317073170731</v>
      </c>
      <c r="BG50">
        <v>7.1598303563497456</v>
      </c>
      <c r="BH50">
        <v>0.12892368957943542</v>
      </c>
      <c r="CG50">
        <v>3.651219512195123</v>
      </c>
      <c r="CH50">
        <v>7.5471687471237177</v>
      </c>
      <c r="CI50">
        <v>0.14301397776035923</v>
      </c>
    </row>
    <row r="51" spans="5:87" x14ac:dyDescent="0.3">
      <c r="L51">
        <v>1.2463414634146344</v>
      </c>
      <c r="M51">
        <v>1.6663820895258938</v>
      </c>
      <c r="N51">
        <v>4.0276379727399496E-2</v>
      </c>
      <c r="O51" s="4">
        <f t="shared" ref="O51:O59" si="45">100*N51</f>
        <v>4.0276379727399494</v>
      </c>
      <c r="P51" s="4">
        <v>1.2463414634146344</v>
      </c>
      <c r="Q51" s="4">
        <v>1.6663820895258938</v>
      </c>
      <c r="R51" s="4">
        <v>4.0276379727399496E-2</v>
      </c>
      <c r="AN51">
        <v>2.2146341463414618</v>
      </c>
      <c r="AO51">
        <v>5.788634785761392</v>
      </c>
      <c r="AP51">
        <v>8.5866064080580007E-2</v>
      </c>
      <c r="BF51">
        <v>2.7902439024390238</v>
      </c>
      <c r="BG51">
        <v>7.1404379178406554</v>
      </c>
      <c r="BH51">
        <v>0.12459203180405394</v>
      </c>
      <c r="CG51">
        <v>3.9560975609756088</v>
      </c>
      <c r="CH51">
        <v>7.6218236086878326</v>
      </c>
      <c r="CI51">
        <v>0.15857597182670713</v>
      </c>
    </row>
    <row r="52" spans="5:87" x14ac:dyDescent="0.3">
      <c r="L52">
        <v>1.6751219512195124</v>
      </c>
      <c r="M52">
        <v>2.1517910860603511</v>
      </c>
      <c r="N52">
        <v>6.433007353940999E-2</v>
      </c>
      <c r="O52" s="4">
        <f t="shared" si="45"/>
        <v>6.4330073539409991</v>
      </c>
      <c r="P52" s="4">
        <v>1.6751219512195124</v>
      </c>
      <c r="Q52" s="4">
        <v>2.1517910860603511</v>
      </c>
      <c r="R52" s="4">
        <v>6.433007353940999E-2</v>
      </c>
      <c r="AN52">
        <v>2.8707317073170731</v>
      </c>
      <c r="AO52">
        <v>7.1598303563497456</v>
      </c>
      <c r="AP52">
        <v>0.12892368957943542</v>
      </c>
      <c r="BF52">
        <v>2.9390243902439011</v>
      </c>
      <c r="BG52">
        <v>7.2476573170484446</v>
      </c>
      <c r="BH52">
        <v>0.14004861161884186</v>
      </c>
    </row>
    <row r="53" spans="5:87" x14ac:dyDescent="0.3">
      <c r="L53">
        <v>2.1999999999999997</v>
      </c>
      <c r="M53">
        <v>4.794865139638139</v>
      </c>
      <c r="N53">
        <v>8.6127902024292158E-2</v>
      </c>
      <c r="O53" s="4">
        <f t="shared" si="45"/>
        <v>8.6127902024292151</v>
      </c>
      <c r="P53" s="4">
        <v>2.1999999999999997</v>
      </c>
      <c r="Q53" s="4">
        <v>4.794865139638139</v>
      </c>
      <c r="R53" s="4">
        <v>8.6127902024292158E-2</v>
      </c>
      <c r="AN53">
        <v>2.7902439024390238</v>
      </c>
      <c r="AO53">
        <v>7.1404379178406554</v>
      </c>
      <c r="AP53">
        <v>0.12459203180405394</v>
      </c>
      <c r="BF53">
        <v>3.651219512195123</v>
      </c>
      <c r="BG53">
        <v>7.5471687471237177</v>
      </c>
      <c r="BH53">
        <v>0.14301397776035923</v>
      </c>
    </row>
    <row r="54" spans="5:87" x14ac:dyDescent="0.3">
      <c r="L54">
        <v>2.2146341463414618</v>
      </c>
      <c r="M54">
        <v>5.788634785761392</v>
      </c>
      <c r="N54">
        <v>8.5866064080580007E-2</v>
      </c>
      <c r="O54" s="4">
        <f t="shared" si="45"/>
        <v>8.5866064080580013</v>
      </c>
      <c r="P54" s="4">
        <v>2.2146341463414618</v>
      </c>
      <c r="Q54" s="4">
        <v>5.788634785761392</v>
      </c>
      <c r="R54" s="4">
        <v>8.5866064080580007E-2</v>
      </c>
      <c r="AN54">
        <v>2.9390243902439011</v>
      </c>
      <c r="AO54">
        <v>7.2476573170484446</v>
      </c>
      <c r="AP54">
        <v>0.14004861161884186</v>
      </c>
      <c r="BF54">
        <v>3.9560975609756088</v>
      </c>
      <c r="BG54">
        <v>7.6218236086878326</v>
      </c>
      <c r="BH54">
        <v>0.15857597182670713</v>
      </c>
    </row>
    <row r="55" spans="5:87" x14ac:dyDescent="0.3">
      <c r="L55">
        <v>2.8707317073170731</v>
      </c>
      <c r="M55">
        <v>7.1598303563497456</v>
      </c>
      <c r="N55">
        <v>0.12892368957943542</v>
      </c>
      <c r="O55" s="4">
        <f t="shared" si="45"/>
        <v>12.892368957943543</v>
      </c>
      <c r="P55" s="4">
        <v>2.8707317073170731</v>
      </c>
      <c r="Q55" s="4">
        <v>7.1598303563497456</v>
      </c>
      <c r="R55" s="4">
        <v>0.12892368957943542</v>
      </c>
      <c r="AN55">
        <v>3.651219512195123</v>
      </c>
      <c r="AO55">
        <v>7.5471687471237177</v>
      </c>
      <c r="AP55">
        <v>0.14301397776035923</v>
      </c>
    </row>
    <row r="56" spans="5:87" x14ac:dyDescent="0.3">
      <c r="L56">
        <v>2.7902439024390238</v>
      </c>
      <c r="M56">
        <v>7.1404379178406554</v>
      </c>
      <c r="N56">
        <v>0.12459203180405394</v>
      </c>
      <c r="O56" s="4">
        <f t="shared" si="45"/>
        <v>12.459203180405394</v>
      </c>
      <c r="P56" s="4">
        <v>2.7902439024390238</v>
      </c>
      <c r="Q56" s="4">
        <v>7.1404379178406554</v>
      </c>
      <c r="R56" s="4">
        <v>0.12459203180405394</v>
      </c>
      <c r="AN56">
        <v>3.9560975609756088</v>
      </c>
      <c r="AO56">
        <v>7.6218236086878326</v>
      </c>
      <c r="AP56">
        <v>0.15857597182670713</v>
      </c>
    </row>
    <row r="57" spans="5:87" x14ac:dyDescent="0.3">
      <c r="L57">
        <v>2.9390243902439011</v>
      </c>
      <c r="M57">
        <v>7.2476573170484446</v>
      </c>
      <c r="N57">
        <v>0.14004861161884186</v>
      </c>
      <c r="O57" s="4">
        <f t="shared" si="45"/>
        <v>14.004861161884186</v>
      </c>
      <c r="P57" s="4">
        <v>2.9390243902439011</v>
      </c>
      <c r="Q57" s="4">
        <v>7.2476573170484446</v>
      </c>
      <c r="R57" s="4">
        <v>0.14004861161884186</v>
      </c>
    </row>
    <row r="58" spans="5:87" x14ac:dyDescent="0.3">
      <c r="L58">
        <v>3.651219512195123</v>
      </c>
      <c r="M58">
        <v>7.5471687471237177</v>
      </c>
      <c r="N58">
        <v>0.14301397776035923</v>
      </c>
      <c r="O58" s="4">
        <f t="shared" si="45"/>
        <v>14.301397776035923</v>
      </c>
      <c r="P58" s="4">
        <v>3.651219512195123</v>
      </c>
      <c r="Q58" s="4">
        <v>7.5471687471237177</v>
      </c>
      <c r="R58" s="4">
        <v>0.14301397776035923</v>
      </c>
    </row>
    <row r="59" spans="5:87" x14ac:dyDescent="0.3">
      <c r="L59">
        <v>3.9560975609756088</v>
      </c>
      <c r="M59">
        <v>7.6218236086878326</v>
      </c>
      <c r="N59">
        <v>0.15857597182670713</v>
      </c>
      <c r="O59" s="4">
        <f t="shared" si="45"/>
        <v>15.857597182670712</v>
      </c>
      <c r="P59" s="4">
        <v>3.9560975609756088</v>
      </c>
      <c r="Q59" s="4">
        <v>7.6218236086878326</v>
      </c>
      <c r="R59" s="4">
        <v>0.15857597182670713</v>
      </c>
    </row>
  </sheetData>
  <mergeCells count="11">
    <mergeCell ref="AR1:AU1"/>
    <mergeCell ref="A1:D1"/>
    <mergeCell ref="G1:J1"/>
    <mergeCell ref="Q1:T1"/>
    <mergeCell ref="Z1:AC1"/>
    <mergeCell ref="AI1:AL1"/>
    <mergeCell ref="BA1:BD1"/>
    <mergeCell ref="BJ1:BM1"/>
    <mergeCell ref="BS1:BV1"/>
    <mergeCell ref="CB1:CE1"/>
    <mergeCell ref="CK1:C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4770-23E8-482D-8180-D28D614A01E0}">
  <dimension ref="A1:E11"/>
  <sheetViews>
    <sheetView workbookViewId="0">
      <selection activeCell="A18" sqref="A18:XFD19"/>
    </sheetView>
  </sheetViews>
  <sheetFormatPr defaultRowHeight="14" x14ac:dyDescent="0.3"/>
  <sheetData>
    <row r="1" spans="1:5" x14ac:dyDescent="0.3">
      <c r="A1" s="2" t="s">
        <v>21</v>
      </c>
      <c r="B1" s="1" t="s">
        <v>19</v>
      </c>
      <c r="C1" s="1" t="s">
        <v>20</v>
      </c>
    </row>
    <row r="2" spans="1:5" x14ac:dyDescent="0.3">
      <c r="A2">
        <v>-1.7073170731707214E-2</v>
      </c>
      <c r="B2">
        <v>1.6650642703482181</v>
      </c>
      <c r="C2">
        <v>1.0137821644363098E-3</v>
      </c>
      <c r="E2">
        <f t="shared" ref="E2:E11" si="0">ABS(A2)</f>
        <v>1.7073170731707214E-2</v>
      </c>
    </row>
    <row r="3" spans="1:5" x14ac:dyDescent="0.3">
      <c r="A3">
        <v>0.44878048780487717</v>
      </c>
      <c r="B3">
        <v>2.0702303394879964</v>
      </c>
      <c r="C3">
        <v>1.6304106512027728E-2</v>
      </c>
      <c r="E3">
        <f t="shared" si="0"/>
        <v>0.44878048780487717</v>
      </c>
    </row>
    <row r="4" spans="1:5" x14ac:dyDescent="0.3">
      <c r="A4">
        <v>0.52926829268292597</v>
      </c>
      <c r="B4">
        <v>2.6481931253721447</v>
      </c>
      <c r="C4">
        <v>1.35285805915115E-2</v>
      </c>
      <c r="E4">
        <f t="shared" si="0"/>
        <v>0.52926829268292597</v>
      </c>
    </row>
    <row r="5" spans="1:5" x14ac:dyDescent="0.3">
      <c r="A5">
        <v>0.30243902439024339</v>
      </c>
      <c r="B5">
        <v>5.0874307090625033</v>
      </c>
      <c r="C5">
        <v>9.7229642208947267E-3</v>
      </c>
      <c r="E5">
        <f t="shared" si="0"/>
        <v>0.30243902439024339</v>
      </c>
    </row>
    <row r="6" spans="1:5" x14ac:dyDescent="0.3">
      <c r="A6">
        <v>-0.69512195121951292</v>
      </c>
      <c r="B6">
        <v>6.0929587510062317</v>
      </c>
      <c r="C6">
        <v>-3.6532007896489249E-2</v>
      </c>
      <c r="E6">
        <f t="shared" si="0"/>
        <v>0.69512195121951292</v>
      </c>
    </row>
    <row r="7" spans="1:5" x14ac:dyDescent="0.3">
      <c r="A7">
        <v>-0.66341463414634183</v>
      </c>
      <c r="B7">
        <v>7.5119741811031924</v>
      </c>
      <c r="C7">
        <v>-4.4195283350902198E-2</v>
      </c>
      <c r="E7">
        <f t="shared" si="0"/>
        <v>0.66341463414634183</v>
      </c>
    </row>
    <row r="8" spans="1:5" x14ac:dyDescent="0.3">
      <c r="A8" s="1">
        <v>-0.87560975609756164</v>
      </c>
      <c r="B8" s="1">
        <v>7.5205896240044199</v>
      </c>
      <c r="C8" s="1">
        <v>-4.7000379292136081E-2</v>
      </c>
      <c r="E8">
        <f t="shared" si="0"/>
        <v>0.87560975609756164</v>
      </c>
    </row>
    <row r="9" spans="1:5" x14ac:dyDescent="0.3">
      <c r="A9">
        <v>-1.1707317073170738</v>
      </c>
      <c r="B9">
        <v>7.4303596078816421</v>
      </c>
      <c r="C9">
        <v>-4.7510660004779201E-2</v>
      </c>
      <c r="E9">
        <f t="shared" si="0"/>
        <v>1.1707317073170738</v>
      </c>
    </row>
    <row r="10" spans="1:5" x14ac:dyDescent="0.3">
      <c r="A10">
        <v>-2.3414634146341466</v>
      </c>
      <c r="B10">
        <v>7.75949457745548</v>
      </c>
      <c r="C10">
        <v>-6.3265993100172405E-2</v>
      </c>
      <c r="E10">
        <f t="shared" si="0"/>
        <v>2.3414634146341466</v>
      </c>
    </row>
    <row r="11" spans="1:5" x14ac:dyDescent="0.3">
      <c r="A11">
        <v>-2.2512195121951222</v>
      </c>
      <c r="B11">
        <v>7.5965492807991284</v>
      </c>
      <c r="C11">
        <v>-5.1752898145205027E-2</v>
      </c>
      <c r="E11">
        <f t="shared" si="0"/>
        <v>2.2512195121951222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胸径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Sunkin</dc:creator>
  <cp:lastModifiedBy>绍强 谢</cp:lastModifiedBy>
  <dcterms:created xsi:type="dcterms:W3CDTF">2015-06-05T18:19:34Z</dcterms:created>
  <dcterms:modified xsi:type="dcterms:W3CDTF">2025-03-25T08:35:01Z</dcterms:modified>
</cp:coreProperties>
</file>