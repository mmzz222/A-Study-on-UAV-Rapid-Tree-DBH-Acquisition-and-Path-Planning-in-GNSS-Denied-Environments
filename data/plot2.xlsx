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大论文数据\--树林2\"/>
    </mc:Choice>
  </mc:AlternateContent>
  <xr:revisionPtr revIDLastSave="0" documentId="13_ncr:1_{90635380-0613-4D8B-9B2E-EDA396FE0B33}" xr6:coauthVersionLast="47" xr6:coauthVersionMax="47" xr10:uidLastSave="{00000000-0000-0000-0000-000000000000}"/>
  <bookViews>
    <workbookView minimized="1" xWindow="5835" yWindow="-15120" windowWidth="18195" windowHeight="11175" xr2:uid="{00000000-000D-0000-FFFF-FFFF00000000}"/>
  </bookViews>
  <sheets>
    <sheet name="Sheet2" sheetId="2" r:id="rId1"/>
    <sheet name="胸径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2" l="1" a="1"/>
  <c r="T36" i="2" s="1"/>
  <c r="BX29" i="2" a="1"/>
  <c r="BX29" i="2" s="1"/>
  <c r="CG29" i="2" a="1"/>
  <c r="CG29" i="2" s="1"/>
  <c r="CP29" i="2" a="1"/>
  <c r="CP29" i="2" s="1"/>
  <c r="L29" i="2" a="1"/>
  <c r="L29" i="2" s="1"/>
  <c r="V29" i="2" a="1"/>
  <c r="V29" i="2" s="1"/>
  <c r="AE29" i="2" a="1"/>
  <c r="AE29" i="2" s="1"/>
  <c r="AN29" i="2" a="1"/>
  <c r="AN29" i="2" s="1"/>
  <c r="AW29" i="2" a="1"/>
  <c r="AW29" i="2" s="1"/>
  <c r="BO29" i="2" a="1"/>
  <c r="BO29" i="2" s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BF29" i="2" l="1" a="1"/>
  <c r="BF29" i="2" s="1"/>
  <c r="E29" i="2"/>
  <c r="CO3" i="2" l="1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E2" i="3"/>
  <c r="E3" i="3"/>
  <c r="E4" i="3"/>
  <c r="E5" i="3"/>
  <c r="E6" i="3"/>
  <c r="E7" i="3"/>
  <c r="E8" i="3"/>
  <c r="E9" i="3"/>
  <c r="E10" i="3"/>
  <c r="E11" i="3"/>
  <c r="AD25" i="2"/>
  <c r="AD26" i="2"/>
  <c r="AD27" i="2"/>
  <c r="AD28" i="2"/>
  <c r="K22" i="2"/>
  <c r="K23" i="2"/>
  <c r="K24" i="2"/>
  <c r="K25" i="2"/>
  <c r="K26" i="2"/>
  <c r="K27" i="2"/>
  <c r="K28" i="2"/>
  <c r="AD22" i="2"/>
  <c r="AD23" i="2"/>
  <c r="AD2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CF28" i="2"/>
  <c r="CF14" i="2"/>
  <c r="CF13" i="2"/>
  <c r="CF12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1" i="2"/>
  <c r="CF10" i="2"/>
  <c r="CF9" i="2"/>
  <c r="CF8" i="2"/>
  <c r="CF7" i="2"/>
  <c r="CF6" i="2"/>
  <c r="CF5" i="2"/>
  <c r="CF4" i="2"/>
  <c r="CF3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10" i="2"/>
  <c r="BW9" i="2"/>
  <c r="BW8" i="2"/>
  <c r="BW7" i="2"/>
  <c r="BW6" i="2"/>
  <c r="BW5" i="2"/>
  <c r="BW4" i="2"/>
  <c r="BW3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E4" i="2"/>
  <c r="CI4" i="2" s="1"/>
  <c r="E5" i="2"/>
  <c r="E6" i="2"/>
  <c r="E7" i="2"/>
  <c r="E8" i="2"/>
  <c r="AE8" i="2" s="1"/>
  <c r="E9" i="2"/>
  <c r="E10" i="2"/>
  <c r="E11" i="2"/>
  <c r="BZ11" i="2" s="1"/>
  <c r="E18" i="2"/>
  <c r="E19" i="2"/>
  <c r="E20" i="2"/>
  <c r="E21" i="2"/>
  <c r="E22" i="2"/>
  <c r="E23" i="2"/>
  <c r="E24" i="2"/>
  <c r="E25" i="2"/>
  <c r="E26" i="2"/>
  <c r="E27" i="2"/>
  <c r="E3" i="2"/>
  <c r="AW10" i="2" l="1"/>
  <c r="BQ7" i="2"/>
  <c r="BF3" i="2"/>
  <c r="AN6" i="2"/>
  <c r="BX22" i="2"/>
  <c r="BQ23" i="2"/>
  <c r="BH27" i="2"/>
  <c r="AW26" i="2"/>
  <c r="AN21" i="2"/>
  <c r="AG5" i="2"/>
  <c r="AG24" i="2"/>
  <c r="AG19" i="2"/>
  <c r="AE18" i="2"/>
  <c r="AF18" i="2" s="1"/>
  <c r="V9" i="2"/>
  <c r="W9" i="2" s="1"/>
  <c r="X25" i="2"/>
  <c r="CP27" i="2"/>
  <c r="CQ27" i="2" s="1"/>
  <c r="CP25" i="2"/>
  <c r="CQ25" i="2" s="1"/>
  <c r="CP24" i="2"/>
  <c r="CQ24" i="2" s="1"/>
  <c r="CP23" i="2"/>
  <c r="CQ23" i="2" s="1"/>
  <c r="CP6" i="2"/>
  <c r="CQ6" i="2" s="1"/>
  <c r="CP26" i="2"/>
  <c r="CQ26" i="2" s="1"/>
  <c r="CP11" i="2"/>
  <c r="CQ11" i="2" s="1"/>
  <c r="CP10" i="2"/>
  <c r="CQ10" i="2" s="1"/>
  <c r="CP9" i="2"/>
  <c r="CQ9" i="2" s="1"/>
  <c r="CP22" i="2"/>
  <c r="CQ22" i="2" s="1"/>
  <c r="CP8" i="2"/>
  <c r="CQ8" i="2" s="1"/>
  <c r="AP4" i="2"/>
  <c r="CP21" i="2"/>
  <c r="CQ21" i="2" s="1"/>
  <c r="CP7" i="2"/>
  <c r="CQ7" i="2" s="1"/>
  <c r="CP5" i="2"/>
  <c r="CQ5" i="2" s="1"/>
  <c r="CP19" i="2"/>
  <c r="CQ19" i="2" s="1"/>
  <c r="CP20" i="2"/>
  <c r="CQ20" i="2" s="1"/>
  <c r="CP18" i="2"/>
  <c r="CQ18" i="2" s="1"/>
  <c r="CP4" i="2"/>
  <c r="CQ4" i="2" s="1"/>
  <c r="CP3" i="2"/>
  <c r="X8" i="2"/>
  <c r="X24" i="2"/>
  <c r="X9" i="2"/>
  <c r="AP19" i="2"/>
  <c r="AP20" i="2"/>
  <c r="BH18" i="2"/>
  <c r="CR5" i="2"/>
  <c r="CR21" i="2"/>
  <c r="AE19" i="2"/>
  <c r="AF19" i="2" s="1"/>
  <c r="AG3" i="2"/>
  <c r="BZ18" i="2"/>
  <c r="AE3" i="2"/>
  <c r="AG22" i="2"/>
  <c r="CR19" i="2"/>
  <c r="E16" i="2"/>
  <c r="CP16" i="2" s="1"/>
  <c r="CQ16" i="2" s="1"/>
  <c r="E17" i="2"/>
  <c r="BX17" i="2" s="1"/>
  <c r="BY17" i="2" s="1"/>
  <c r="E15" i="2"/>
  <c r="AN15" i="2" s="1"/>
  <c r="AO15" i="2" s="1"/>
  <c r="E14" i="2"/>
  <c r="V14" i="2" s="1"/>
  <c r="W14" i="2" s="1"/>
  <c r="E13" i="2"/>
  <c r="BQ13" i="2" s="1"/>
  <c r="X19" i="2"/>
  <c r="E28" i="2"/>
  <c r="AG28" i="2" s="1"/>
  <c r="E12" i="2"/>
  <c r="BF12" i="2" s="1"/>
  <c r="BG12" i="2" s="1"/>
  <c r="AW6" i="2"/>
  <c r="AX6" i="2" s="1"/>
  <c r="AW22" i="2"/>
  <c r="AX22" i="2" s="1"/>
  <c r="BQ4" i="2"/>
  <c r="BQ20" i="2"/>
  <c r="CG3" i="2"/>
  <c r="CG22" i="2"/>
  <c r="CH22" i="2" s="1"/>
  <c r="AG8" i="2"/>
  <c r="AW7" i="2"/>
  <c r="AX7" i="2" s="1"/>
  <c r="AW23" i="2"/>
  <c r="AX23" i="2" s="1"/>
  <c r="BO5" i="2"/>
  <c r="BO21" i="2"/>
  <c r="BP21" i="2" s="1"/>
  <c r="CG4" i="2"/>
  <c r="CH4" i="2" s="1"/>
  <c r="CG23" i="2"/>
  <c r="CH23" i="2" s="1"/>
  <c r="AG7" i="2"/>
  <c r="AN5" i="2"/>
  <c r="AO5" i="2" s="1"/>
  <c r="AW8" i="2"/>
  <c r="AX8" i="2" s="1"/>
  <c r="AW24" i="2"/>
  <c r="AX24" i="2" s="1"/>
  <c r="BO6" i="2"/>
  <c r="BP6" i="2" s="1"/>
  <c r="BO22" i="2"/>
  <c r="BP22" i="2" s="1"/>
  <c r="CG5" i="2"/>
  <c r="CH5" i="2" s="1"/>
  <c r="AN4" i="2"/>
  <c r="AO4" i="2" s="1"/>
  <c r="AP18" i="2"/>
  <c r="BO7" i="2"/>
  <c r="BP7" i="2" s="1"/>
  <c r="BO23" i="2"/>
  <c r="BP23" i="2" s="1"/>
  <c r="CG6" i="2"/>
  <c r="CH6" i="2" s="1"/>
  <c r="AE21" i="2"/>
  <c r="AF21" i="2" s="1"/>
  <c r="AE5" i="2"/>
  <c r="BX27" i="2"/>
  <c r="BY27" i="2" s="1"/>
  <c r="CG24" i="2"/>
  <c r="CH24" i="2" s="1"/>
  <c r="AG6" i="2"/>
  <c r="AG23" i="2"/>
  <c r="BH11" i="2"/>
  <c r="CI25" i="2"/>
  <c r="X26" i="2"/>
  <c r="AW25" i="2"/>
  <c r="AX25" i="2" s="1"/>
  <c r="BO8" i="2"/>
  <c r="BP8" i="2" s="1"/>
  <c r="BO24" i="2"/>
  <c r="BP24" i="2" s="1"/>
  <c r="CG7" i="2"/>
  <c r="CH7" i="2" s="1"/>
  <c r="CI26" i="2"/>
  <c r="CR4" i="2"/>
  <c r="CR20" i="2"/>
  <c r="AE20" i="2"/>
  <c r="AF20" i="2" s="1"/>
  <c r="AE4" i="2"/>
  <c r="AF4" i="2" s="1"/>
  <c r="CI22" i="2"/>
  <c r="BX11" i="2"/>
  <c r="BY11" i="2" s="1"/>
  <c r="BO25" i="2"/>
  <c r="BP25" i="2" s="1"/>
  <c r="AE9" i="2"/>
  <c r="AF9" i="2" s="1"/>
  <c r="BO20" i="2"/>
  <c r="BP20" i="2" s="1"/>
  <c r="CI9" i="2"/>
  <c r="V27" i="2"/>
  <c r="W27" i="2" s="1"/>
  <c r="AY26" i="2"/>
  <c r="AP5" i="2"/>
  <c r="AP21" i="2"/>
  <c r="BH3" i="2"/>
  <c r="BF19" i="2"/>
  <c r="BG19" i="2" s="1"/>
  <c r="BO10" i="2"/>
  <c r="BP10" i="2" s="1"/>
  <c r="BO26" i="2"/>
  <c r="BP26" i="2" s="1"/>
  <c r="CG9" i="2"/>
  <c r="CH9" i="2" s="1"/>
  <c r="CR6" i="2"/>
  <c r="CR22" i="2"/>
  <c r="AE6" i="2"/>
  <c r="AY25" i="2"/>
  <c r="CI6" i="2"/>
  <c r="BO9" i="2"/>
  <c r="BP9" i="2" s="1"/>
  <c r="CR23" i="2"/>
  <c r="V26" i="2"/>
  <c r="W26" i="2" s="1"/>
  <c r="AG21" i="2"/>
  <c r="AY22" i="2"/>
  <c r="BO4" i="2"/>
  <c r="BP4" i="2" s="1"/>
  <c r="AP22" i="2"/>
  <c r="AP7" i="2"/>
  <c r="AN23" i="2"/>
  <c r="BF5" i="2"/>
  <c r="BG5" i="2" s="1"/>
  <c r="BF21" i="2"/>
  <c r="BG21" i="2" s="1"/>
  <c r="BZ3" i="2"/>
  <c r="BZ19" i="2"/>
  <c r="CI11" i="2"/>
  <c r="CR8" i="2"/>
  <c r="CR24" i="2"/>
  <c r="V23" i="2"/>
  <c r="W23" i="2" s="1"/>
  <c r="AG20" i="2"/>
  <c r="AY9" i="2"/>
  <c r="BO11" i="2"/>
  <c r="BP11" i="2" s="1"/>
  <c r="AN8" i="2"/>
  <c r="AO8" i="2" s="1"/>
  <c r="AN24" i="2"/>
  <c r="AO24" i="2" s="1"/>
  <c r="BF6" i="2"/>
  <c r="BG6" i="2" s="1"/>
  <c r="BF22" i="2"/>
  <c r="BG22" i="2" s="1"/>
  <c r="BZ4" i="2"/>
  <c r="BZ20" i="2"/>
  <c r="CR9" i="2"/>
  <c r="CR25" i="2"/>
  <c r="V20" i="2"/>
  <c r="W20" i="2" s="1"/>
  <c r="AY6" i="2"/>
  <c r="AG26" i="2"/>
  <c r="X10" i="2"/>
  <c r="AY27" i="2"/>
  <c r="CG8" i="2"/>
  <c r="CH8" i="2" s="1"/>
  <c r="AP6" i="2"/>
  <c r="BF4" i="2"/>
  <c r="BG4" i="2" s="1"/>
  <c r="CR7" i="2"/>
  <c r="V18" i="2"/>
  <c r="W18" i="2" s="1"/>
  <c r="AN9" i="2"/>
  <c r="AO9" i="2" s="1"/>
  <c r="AN25" i="2"/>
  <c r="AO25" i="2" s="1"/>
  <c r="BF7" i="2"/>
  <c r="BG7" i="2" s="1"/>
  <c r="BF23" i="2"/>
  <c r="BG23" i="2" s="1"/>
  <c r="BZ5" i="2"/>
  <c r="BZ21" i="2"/>
  <c r="CI16" i="2"/>
  <c r="CR10" i="2"/>
  <c r="V10" i="2"/>
  <c r="W10" i="2" s="1"/>
  <c r="AG18" i="2"/>
  <c r="AN22" i="2"/>
  <c r="AO22" i="2" s="1"/>
  <c r="AG25" i="2"/>
  <c r="AY10" i="2"/>
  <c r="V3" i="2"/>
  <c r="V19" i="2"/>
  <c r="W19" i="2" s="1"/>
  <c r="AN10" i="2"/>
  <c r="AO10" i="2" s="1"/>
  <c r="AN26" i="2"/>
  <c r="AO26" i="2" s="1"/>
  <c r="BF8" i="2"/>
  <c r="BG8" i="2" s="1"/>
  <c r="BF24" i="2"/>
  <c r="BG24" i="2" s="1"/>
  <c r="BZ6" i="2"/>
  <c r="BZ22" i="2"/>
  <c r="V7" i="2"/>
  <c r="W7" i="2" s="1"/>
  <c r="BF20" i="2"/>
  <c r="BG20" i="2" s="1"/>
  <c r="CI10" i="2"/>
  <c r="X4" i="2"/>
  <c r="X20" i="2"/>
  <c r="AN11" i="2"/>
  <c r="AO11" i="2" s="1"/>
  <c r="AN27" i="2"/>
  <c r="AO27" i="2" s="1"/>
  <c r="AW18" i="2"/>
  <c r="AX18" i="2" s="1"/>
  <c r="BF9" i="2"/>
  <c r="BG9" i="2" s="1"/>
  <c r="BF25" i="2"/>
  <c r="BG25" i="2" s="1"/>
  <c r="BX7" i="2"/>
  <c r="BY7" i="2" s="1"/>
  <c r="BX23" i="2"/>
  <c r="BY23" i="2" s="1"/>
  <c r="CG18" i="2"/>
  <c r="CH18" i="2" s="1"/>
  <c r="V4" i="2"/>
  <c r="W4" i="2" s="1"/>
  <c r="AN20" i="2"/>
  <c r="AO20" i="2" s="1"/>
  <c r="AW9" i="2"/>
  <c r="AX9" i="2" s="1"/>
  <c r="CG25" i="2"/>
  <c r="CH25" i="2" s="1"/>
  <c r="AY11" i="2"/>
  <c r="CI27" i="2"/>
  <c r="BO27" i="2"/>
  <c r="BP27" i="2" s="1"/>
  <c r="X5" i="2"/>
  <c r="X21" i="2"/>
  <c r="AY3" i="2"/>
  <c r="AW19" i="2"/>
  <c r="AX19" i="2" s="1"/>
  <c r="BF10" i="2"/>
  <c r="BG10" i="2" s="1"/>
  <c r="BF26" i="2"/>
  <c r="BG26" i="2" s="1"/>
  <c r="BX8" i="2"/>
  <c r="BY8" i="2" s="1"/>
  <c r="BX24" i="2"/>
  <c r="BY24" i="2" s="1"/>
  <c r="CG19" i="2"/>
  <c r="CH19" i="2" s="1"/>
  <c r="AG11" i="2"/>
  <c r="AG4" i="2"/>
  <c r="AN18" i="2"/>
  <c r="AO18" i="2" s="1"/>
  <c r="BF18" i="2"/>
  <c r="BG18" i="2" s="1"/>
  <c r="BX6" i="2"/>
  <c r="BY6" i="2" s="1"/>
  <c r="V11" i="2"/>
  <c r="W11" i="2" s="1"/>
  <c r="X6" i="2"/>
  <c r="X22" i="2"/>
  <c r="AW4" i="2"/>
  <c r="AX4" i="2" s="1"/>
  <c r="AW20" i="2"/>
  <c r="AX20" i="2" s="1"/>
  <c r="BF11" i="2"/>
  <c r="BG11" i="2" s="1"/>
  <c r="BF27" i="2"/>
  <c r="BG27" i="2" s="1"/>
  <c r="BQ18" i="2"/>
  <c r="BX9" i="2"/>
  <c r="BY9" i="2" s="1"/>
  <c r="BX25" i="2"/>
  <c r="BY25" i="2" s="1"/>
  <c r="CG20" i="2"/>
  <c r="CH20" i="2" s="1"/>
  <c r="AG10" i="2"/>
  <c r="AP3" i="2"/>
  <c r="X7" i="2"/>
  <c r="X23" i="2"/>
  <c r="AN14" i="2"/>
  <c r="AO14" i="2" s="1"/>
  <c r="AW5" i="2"/>
  <c r="AX5" i="2" s="1"/>
  <c r="AW21" i="2"/>
  <c r="BO3" i="2"/>
  <c r="BQ19" i="2"/>
  <c r="BX10" i="2"/>
  <c r="BY10" i="2" s="1"/>
  <c r="BX26" i="2"/>
  <c r="BY26" i="2" s="1"/>
  <c r="CG21" i="2"/>
  <c r="CH21" i="2" s="1"/>
  <c r="AG9" i="2"/>
  <c r="AE25" i="2"/>
  <c r="AF25" i="2" s="1"/>
  <c r="AE22" i="2"/>
  <c r="AF22" i="2" s="1"/>
  <c r="AG27" i="2"/>
  <c r="AE24" i="2"/>
  <c r="AF24" i="2" s="1"/>
  <c r="AN7" i="2"/>
  <c r="AO7" i="2" s="1"/>
  <c r="V25" i="2"/>
  <c r="W25" i="2" s="1"/>
  <c r="X18" i="2"/>
  <c r="AE27" i="2"/>
  <c r="AF27" i="2" s="1"/>
  <c r="AE11" i="2"/>
  <c r="AW15" i="2"/>
  <c r="AX15" i="2" s="1"/>
  <c r="AY24" i="2"/>
  <c r="AY8" i="2"/>
  <c r="BH26" i="2"/>
  <c r="BH10" i="2"/>
  <c r="BO19" i="2"/>
  <c r="BP19" i="2" s="1"/>
  <c r="BQ3" i="2"/>
  <c r="BX21" i="2"/>
  <c r="BY21" i="2" s="1"/>
  <c r="BX5" i="2"/>
  <c r="BY5" i="2" s="1"/>
  <c r="CG16" i="2"/>
  <c r="CH16" i="2" s="1"/>
  <c r="CI24" i="2"/>
  <c r="CI8" i="2"/>
  <c r="CR18" i="2"/>
  <c r="V24" i="2"/>
  <c r="W24" i="2" s="1"/>
  <c r="V8" i="2"/>
  <c r="W8" i="2" s="1"/>
  <c r="AE26" i="2"/>
  <c r="AF26" i="2" s="1"/>
  <c r="AE10" i="2"/>
  <c r="AF10" i="2" s="1"/>
  <c r="AN3" i="2"/>
  <c r="AW14" i="2"/>
  <c r="AX14" i="2" s="1"/>
  <c r="AY23" i="2"/>
  <c r="AY7" i="2"/>
  <c r="BH25" i="2"/>
  <c r="BH9" i="2"/>
  <c r="BO18" i="2"/>
  <c r="BP18" i="2" s="1"/>
  <c r="BQ27" i="2"/>
  <c r="BQ11" i="2"/>
  <c r="BX20" i="2"/>
  <c r="BY20" i="2" s="1"/>
  <c r="BX4" i="2"/>
  <c r="BY4" i="2" s="1"/>
  <c r="CG15" i="2"/>
  <c r="CH15" i="2" s="1"/>
  <c r="CI23" i="2"/>
  <c r="CI7" i="2"/>
  <c r="BZ15" i="2"/>
  <c r="BH24" i="2"/>
  <c r="BH8" i="2"/>
  <c r="BQ10" i="2"/>
  <c r="V22" i="2"/>
  <c r="W22" i="2" s="1"/>
  <c r="V6" i="2"/>
  <c r="W6" i="2" s="1"/>
  <c r="AP27" i="2"/>
  <c r="AP11" i="2"/>
  <c r="AN19" i="2"/>
  <c r="AO19" i="2" s="1"/>
  <c r="AW3" i="2"/>
  <c r="AW12" i="2"/>
  <c r="AX12" i="2" s="1"/>
  <c r="AY21" i="2"/>
  <c r="AY5" i="2"/>
  <c r="BH23" i="2"/>
  <c r="BH7" i="2"/>
  <c r="BO16" i="2"/>
  <c r="BP16" i="2" s="1"/>
  <c r="BQ25" i="2"/>
  <c r="BQ9" i="2"/>
  <c r="BX18" i="2"/>
  <c r="BY18" i="2" s="1"/>
  <c r="CI21" i="2"/>
  <c r="CI5" i="2"/>
  <c r="CR15" i="2"/>
  <c r="BQ26" i="2"/>
  <c r="V21" i="2"/>
  <c r="W21" i="2" s="1"/>
  <c r="V5" i="2"/>
  <c r="W5" i="2" s="1"/>
  <c r="AE23" i="2"/>
  <c r="AF23" i="2" s="1"/>
  <c r="AE7" i="2"/>
  <c r="AF7" i="2" s="1"/>
  <c r="AG16" i="2"/>
  <c r="AP26" i="2"/>
  <c r="AP10" i="2"/>
  <c r="AW27" i="2"/>
  <c r="AX27" i="2" s="1"/>
  <c r="AW11" i="2"/>
  <c r="AX11" i="2" s="1"/>
  <c r="AY20" i="2"/>
  <c r="AY4" i="2"/>
  <c r="BH22" i="2"/>
  <c r="BH6" i="2"/>
  <c r="BO15" i="2"/>
  <c r="BP15" i="2" s="1"/>
  <c r="BQ24" i="2"/>
  <c r="BQ8" i="2"/>
  <c r="CI3" i="2"/>
  <c r="CG12" i="2"/>
  <c r="CH12" i="2" s="1"/>
  <c r="CI20" i="2"/>
  <c r="BZ28" i="2"/>
  <c r="BZ12" i="2"/>
  <c r="CG27" i="2"/>
  <c r="CH27" i="2" s="1"/>
  <c r="CG11" i="2"/>
  <c r="CH11" i="2" s="1"/>
  <c r="AP25" i="2"/>
  <c r="AY19" i="2"/>
  <c r="CI19" i="2"/>
  <c r="X3" i="2"/>
  <c r="X12" i="2"/>
  <c r="AG14" i="2"/>
  <c r="AP24" i="2"/>
  <c r="AP8" i="2"/>
  <c r="AN16" i="2"/>
  <c r="AO16" i="2" s="1"/>
  <c r="AY18" i="2"/>
  <c r="BH20" i="2"/>
  <c r="BH4" i="2"/>
  <c r="BQ22" i="2"/>
  <c r="BQ6" i="2"/>
  <c r="CG26" i="2"/>
  <c r="CH26" i="2" s="1"/>
  <c r="CG10" i="2"/>
  <c r="CH10" i="2" s="1"/>
  <c r="CI18" i="2"/>
  <c r="BZ26" i="2"/>
  <c r="BZ10" i="2"/>
  <c r="CR3" i="2"/>
  <c r="CR28" i="2"/>
  <c r="CR12" i="2"/>
  <c r="X16" i="2"/>
  <c r="AP9" i="2"/>
  <c r="X27" i="2"/>
  <c r="X11" i="2"/>
  <c r="AP23" i="2"/>
  <c r="BH19" i="2"/>
  <c r="BQ21" i="2"/>
  <c r="BQ5" i="2"/>
  <c r="BZ25" i="2"/>
  <c r="BZ9" i="2"/>
  <c r="CR27" i="2"/>
  <c r="CR11" i="2"/>
  <c r="BZ27" i="2"/>
  <c r="BZ24" i="2"/>
  <c r="BZ8" i="2"/>
  <c r="CR26" i="2"/>
  <c r="BX19" i="2"/>
  <c r="BY19" i="2" s="1"/>
  <c r="BH21" i="2"/>
  <c r="BX3" i="2"/>
  <c r="BZ23" i="2"/>
  <c r="BZ7" i="2"/>
  <c r="BH5" i="2"/>
  <c r="BO14" i="2"/>
  <c r="BP14" i="2" s="1"/>
  <c r="AX10" i="2"/>
  <c r="AX26" i="2"/>
  <c r="BY22" i="2"/>
  <c r="BP5" i="2"/>
  <c r="AX21" i="2"/>
  <c r="AO21" i="2"/>
  <c r="AO6" i="2"/>
  <c r="AO23" i="2"/>
  <c r="M5" i="2"/>
  <c r="N26" i="2"/>
  <c r="AF8" i="2"/>
  <c r="N23" i="2"/>
  <c r="AF6" i="2"/>
  <c r="N7" i="2"/>
  <c r="N8" i="2"/>
  <c r="N25" i="2"/>
  <c r="M4" i="2"/>
  <c r="N16" i="2"/>
  <c r="N10" i="2"/>
  <c r="M26" i="2"/>
  <c r="M15" i="2"/>
  <c r="N24" i="2"/>
  <c r="N9" i="2"/>
  <c r="N21" i="2"/>
  <c r="N22" i="2"/>
  <c r="N27" i="2"/>
  <c r="N6" i="2"/>
  <c r="N12" i="2"/>
  <c r="N5" i="2"/>
  <c r="N11" i="2"/>
  <c r="N14" i="2"/>
  <c r="M22" i="2"/>
  <c r="M21" i="2"/>
  <c r="M20" i="2"/>
  <c r="M6" i="2"/>
  <c r="N18" i="2"/>
  <c r="N15" i="2"/>
  <c r="AF5" i="2"/>
  <c r="M14" i="2"/>
  <c r="N4" i="2"/>
  <c r="N19" i="2"/>
  <c r="M3" i="2"/>
  <c r="M28" i="2"/>
  <c r="M12" i="2"/>
  <c r="M18" i="2"/>
  <c r="M27" i="2"/>
  <c r="M11" i="2"/>
  <c r="M16" i="2"/>
  <c r="M25" i="2"/>
  <c r="M9" i="2"/>
  <c r="M24" i="2"/>
  <c r="M8" i="2"/>
  <c r="N20" i="2"/>
  <c r="M19" i="2"/>
  <c r="M23" i="2"/>
  <c r="M7" i="2"/>
  <c r="N3" i="2"/>
  <c r="W3" i="2" l="1"/>
  <c r="CH3" i="2"/>
  <c r="CQ3" i="2"/>
  <c r="M10" i="2"/>
  <c r="AF11" i="2"/>
  <c r="CR14" i="2"/>
  <c r="BF14" i="2"/>
  <c r="BG14" i="2" s="1"/>
  <c r="CI12" i="2"/>
  <c r="CG28" i="2"/>
  <c r="CH28" i="2" s="1"/>
  <c r="AW28" i="2"/>
  <c r="AX28" i="2" s="1"/>
  <c r="BO12" i="2"/>
  <c r="BP12" i="2" s="1"/>
  <c r="AP12" i="2"/>
  <c r="AP29" i="2" s="1" a="1"/>
  <c r="AP29" i="2" s="1"/>
  <c r="BQ12" i="2"/>
  <c r="BQ29" i="2" s="1" a="1"/>
  <c r="BQ29" i="2" s="1"/>
  <c r="X28" i="2"/>
  <c r="BQ28" i="2"/>
  <c r="AE12" i="2"/>
  <c r="AF12" i="2" s="1"/>
  <c r="BX12" i="2"/>
  <c r="BY12" i="2" s="1"/>
  <c r="N28" i="2"/>
  <c r="CP17" i="2"/>
  <c r="CQ17" i="2" s="1"/>
  <c r="CR13" i="2"/>
  <c r="AP13" i="2"/>
  <c r="BF13" i="2"/>
  <c r="BG13" i="2" s="1"/>
  <c r="AG13" i="2"/>
  <c r="CP28" i="2"/>
  <c r="CQ28" i="2" s="1"/>
  <c r="BZ13" i="2"/>
  <c r="BZ29" i="2" s="1" a="1"/>
  <c r="BZ29" i="2" s="1"/>
  <c r="N13" i="2"/>
  <c r="N29" i="2" s="1" a="1"/>
  <c r="N29" i="2" s="1"/>
  <c r="BO28" i="2"/>
  <c r="BP28" i="2" s="1"/>
  <c r="CP13" i="2"/>
  <c r="CQ13" i="2" s="1"/>
  <c r="X13" i="2"/>
  <c r="X29" i="2" s="1" a="1"/>
  <c r="X29" i="2" s="1"/>
  <c r="CG13" i="2"/>
  <c r="CH13" i="2" s="1"/>
  <c r="BX28" i="2"/>
  <c r="BY28" i="2" s="1"/>
  <c r="AW13" i="2"/>
  <c r="AX13" i="2" s="1"/>
  <c r="M13" i="2"/>
  <c r="AE28" i="2"/>
  <c r="AF28" i="2" s="1"/>
  <c r="CP14" i="2"/>
  <c r="CQ14" i="2" s="1"/>
  <c r="CP12" i="2"/>
  <c r="CQ12" i="2" s="1"/>
  <c r="CI15" i="2"/>
  <c r="CP15" i="2"/>
  <c r="CQ15" i="2" s="1"/>
  <c r="BQ14" i="2"/>
  <c r="BQ16" i="2"/>
  <c r="V15" i="2"/>
  <c r="W15" i="2" s="1"/>
  <c r="AY14" i="2"/>
  <c r="CI14" i="2"/>
  <c r="AY16" i="2"/>
  <c r="AE13" i="2"/>
  <c r="AF13" i="2" s="1"/>
  <c r="AN13" i="2"/>
  <c r="AO13" i="2" s="1"/>
  <c r="BO13" i="2"/>
  <c r="BP13" i="2" s="1"/>
  <c r="CI13" i="2"/>
  <c r="AY13" i="2"/>
  <c r="BQ15" i="2"/>
  <c r="BX14" i="2"/>
  <c r="BY14" i="2" s="1"/>
  <c r="BH14" i="2"/>
  <c r="BH15" i="2"/>
  <c r="AE14" i="2"/>
  <c r="AF14" i="2" s="1"/>
  <c r="AY15" i="2"/>
  <c r="AE15" i="2"/>
  <c r="AF15" i="2" s="1"/>
  <c r="BX15" i="2"/>
  <c r="BY15" i="2" s="1"/>
  <c r="AG15" i="2"/>
  <c r="BH16" i="2"/>
  <c r="CR17" i="2"/>
  <c r="CR29" i="2" s="1" a="1"/>
  <c r="CR29" i="2" s="1"/>
  <c r="AY17" i="2"/>
  <c r="BF28" i="2"/>
  <c r="BG28" i="2" s="1"/>
  <c r="AP28" i="2"/>
  <c r="BH17" i="2"/>
  <c r="N17" i="2"/>
  <c r="X17" i="2"/>
  <c r="BQ17" i="2"/>
  <c r="BZ17" i="2"/>
  <c r="BF16" i="2"/>
  <c r="BG16" i="2" s="1"/>
  <c r="CR16" i="2"/>
  <c r="AW16" i="2"/>
  <c r="AX16" i="2" s="1"/>
  <c r="M17" i="2"/>
  <c r="V28" i="2"/>
  <c r="W28" i="2" s="1"/>
  <c r="AG17" i="2"/>
  <c r="BX16" i="2"/>
  <c r="BY16" i="2" s="1"/>
  <c r="AW17" i="2"/>
  <c r="AX17" i="2" s="1"/>
  <c r="AE16" i="2"/>
  <c r="AF16" i="2" s="1"/>
  <c r="V13" i="2"/>
  <c r="W13" i="2" s="1"/>
  <c r="AP17" i="2"/>
  <c r="AN17" i="2"/>
  <c r="AO17" i="2" s="1"/>
  <c r="BH13" i="2"/>
  <c r="AN28" i="2"/>
  <c r="AO28" i="2" s="1"/>
  <c r="AN12" i="2"/>
  <c r="AO12" i="2" s="1"/>
  <c r="AG12" i="2"/>
  <c r="V16" i="2"/>
  <c r="W16" i="2" s="1"/>
  <c r="BO17" i="2"/>
  <c r="BP17" i="2" s="1"/>
  <c r="AY28" i="2"/>
  <c r="AE17" i="2"/>
  <c r="AF17" i="2" s="1"/>
  <c r="BF17" i="2"/>
  <c r="BG17" i="2" s="1"/>
  <c r="BH28" i="2"/>
  <c r="V17" i="2"/>
  <c r="W17" i="2" s="1"/>
  <c r="AY12" i="2"/>
  <c r="V12" i="2"/>
  <c r="W12" i="2" s="1"/>
  <c r="BH12" i="2"/>
  <c r="CI17" i="2"/>
  <c r="AP16" i="2"/>
  <c r="CG17" i="2"/>
  <c r="CH17" i="2" s="1"/>
  <c r="BX13" i="2"/>
  <c r="BY13" i="2" s="1"/>
  <c r="BZ14" i="2"/>
  <c r="AP14" i="2"/>
  <c r="X14" i="2"/>
  <c r="CG14" i="2"/>
  <c r="CH14" i="2" s="1"/>
  <c r="BZ16" i="2"/>
  <c r="CI28" i="2"/>
  <c r="BF15" i="2"/>
  <c r="BG15" i="2" s="1"/>
  <c r="AP15" i="2"/>
  <c r="X15" i="2"/>
  <c r="BY3" i="2"/>
  <c r="BP3" i="2"/>
  <c r="BG3" i="2"/>
  <c r="AX3" i="2"/>
  <c r="AO3" i="2"/>
  <c r="AF3" i="2"/>
  <c r="AY29" i="2" l="1" a="1"/>
  <c r="AY29" i="2" s="1"/>
  <c r="AG29" i="2" a="1"/>
  <c r="AG29" i="2" s="1"/>
  <c r="CQ29" i="2"/>
  <c r="CI29" i="2" a="1"/>
  <c r="CI29" i="2" s="1"/>
  <c r="AX29" i="2"/>
  <c r="BG29" i="2"/>
  <c r="BH29" i="2" a="1"/>
  <c r="BH29" i="2" s="1"/>
  <c r="BY29" i="2"/>
  <c r="CH29" i="2"/>
  <c r="BP29" i="2"/>
  <c r="W29" i="2"/>
  <c r="AO29" i="2"/>
  <c r="M29" i="2"/>
  <c r="AF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<sst xmlns="http://schemas.openxmlformats.org/spreadsheetml/2006/main" count="128" uniqueCount="22">
  <si>
    <t>树木位置-X</t>
    <phoneticPr fontId="1" type="noConversion"/>
  </si>
  <si>
    <t>树木位置-Y</t>
    <phoneticPr fontId="1" type="noConversion"/>
  </si>
  <si>
    <t>树木-ID</t>
    <phoneticPr fontId="1" type="noConversion"/>
  </si>
  <si>
    <t>树木-DBH</t>
    <phoneticPr fontId="1" type="noConversion"/>
  </si>
  <si>
    <t>1米合并距离</t>
    <phoneticPr fontId="1" type="noConversion"/>
  </si>
  <si>
    <t>2米合并距离</t>
    <phoneticPr fontId="1" type="noConversion"/>
  </si>
  <si>
    <t>3米合并距离</t>
    <phoneticPr fontId="1" type="noConversion"/>
  </si>
  <si>
    <t>4米合并距离</t>
    <phoneticPr fontId="1" type="noConversion"/>
  </si>
  <si>
    <t>5米合并距离</t>
    <phoneticPr fontId="1" type="noConversion"/>
  </si>
  <si>
    <t>6米合并距离</t>
    <phoneticPr fontId="1" type="noConversion"/>
  </si>
  <si>
    <t>7米合并距离</t>
    <phoneticPr fontId="1" type="noConversion"/>
  </si>
  <si>
    <t>8米合并距离</t>
    <phoneticPr fontId="1" type="noConversion"/>
  </si>
  <si>
    <t>9米合并距离</t>
    <phoneticPr fontId="1" type="noConversion"/>
  </si>
  <si>
    <t>10米合并距离</t>
    <phoneticPr fontId="1" type="noConversion"/>
  </si>
  <si>
    <t>参考值</t>
    <phoneticPr fontId="1" type="noConversion"/>
  </si>
  <si>
    <t>Xi-Xir</t>
    <phoneticPr fontId="1" type="noConversion"/>
  </si>
  <si>
    <t>(Xi-Xir)*(Xi-Xir)</t>
    <phoneticPr fontId="1" type="noConversion"/>
  </si>
  <si>
    <t>(Xi/Xir)-1</t>
    <phoneticPr fontId="1" type="noConversion"/>
  </si>
  <si>
    <t>树木-DBH-厘米</t>
    <phoneticPr fontId="1" type="noConversion"/>
  </si>
  <si>
    <t>偏差Rmese</t>
    <phoneticPr fontId="1" type="noConversion"/>
  </si>
  <si>
    <t>相对偏差Brel</t>
    <phoneticPr fontId="1" type="noConversion"/>
  </si>
  <si>
    <t>误差Bias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</si>
</sst>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胸径!$B$2:$B$11</c:f>
              <c:numCache>
                <c:formatCode>General</c:formatCode>
                <c:ptCount val="10"/>
                <c:pt idx="0">
                  <c:v>1.6650642703482181</c:v>
                </c:pt>
                <c:pt idx="1">
                  <c:v>2.0702303394879964</c:v>
                </c:pt>
                <c:pt idx="2">
                  <c:v>2.6481931253721447</c:v>
                </c:pt>
                <c:pt idx="3">
                  <c:v>5.0874307090625033</c:v>
                </c:pt>
                <c:pt idx="4">
                  <c:v>6.0929587510062317</c:v>
                </c:pt>
                <c:pt idx="5">
                  <c:v>7.5119741811031924</c:v>
                </c:pt>
                <c:pt idx="6">
                  <c:v>7.5205896240044199</c:v>
                </c:pt>
                <c:pt idx="7">
                  <c:v>7.4303596078816421</c:v>
                </c:pt>
                <c:pt idx="8">
                  <c:v>7.75949457745548</c:v>
                </c:pt>
                <c:pt idx="9">
                  <c:v>7.5965492807991284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B-49B5-89BA-96584C86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632464"/>
        <c:axId val="1231629104"/>
      </c:lineChart>
      <c:catAx>
        <c:axId val="123163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1629104"/>
        <c:crosses val="autoZero"/>
        <c:auto val="1"/>
        <c:lblAlgn val="ctr"/>
        <c:lblOffset val="100"/>
        <c:noMultiLvlLbl val="0"/>
      </c:catAx>
      <c:valAx>
        <c:axId val="12316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16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胸径!$C$2:$C$11</c:f>
              <c:numCache>
                <c:formatCode>General</c:formatCode>
                <c:ptCount val="10"/>
                <c:pt idx="0">
                  <c:v>1.0137821644363098E-3</c:v>
                </c:pt>
                <c:pt idx="1">
                  <c:v>1.6304106512027728E-2</c:v>
                </c:pt>
                <c:pt idx="2">
                  <c:v>1.35285805915115E-2</c:v>
                </c:pt>
                <c:pt idx="3">
                  <c:v>9.7229642208947267E-3</c:v>
                </c:pt>
                <c:pt idx="4">
                  <c:v>-3.6532007896489249E-2</c:v>
                </c:pt>
                <c:pt idx="5">
                  <c:v>-4.4195283350902198E-2</c:v>
                </c:pt>
                <c:pt idx="6">
                  <c:v>-4.7000379292136081E-2</c:v>
                </c:pt>
                <c:pt idx="7">
                  <c:v>-4.7510660004779201E-2</c:v>
                </c:pt>
                <c:pt idx="8">
                  <c:v>-6.3265993100172405E-2</c:v>
                </c:pt>
                <c:pt idx="9">
                  <c:v>-5.1752898145205027E-2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3-4057-804B-97912A9C1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338544"/>
        <c:axId val="1235145216"/>
      </c:lineChart>
      <c:catAx>
        <c:axId val="125633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5145216"/>
        <c:crosses val="autoZero"/>
        <c:auto val="1"/>
        <c:lblAlgn val="ctr"/>
        <c:lblOffset val="100"/>
        <c:noMultiLvlLbl val="0"/>
      </c:catAx>
      <c:valAx>
        <c:axId val="1235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胸径!$A$2:$A$11</c:f>
              <c:numCache>
                <c:formatCode>General</c:formatCode>
                <c:ptCount val="10"/>
                <c:pt idx="0">
                  <c:v>-1.7073170731707214E-2</c:v>
                </c:pt>
                <c:pt idx="1">
                  <c:v>0.44878048780487717</c:v>
                </c:pt>
                <c:pt idx="2">
                  <c:v>0.52926829268292597</c:v>
                </c:pt>
                <c:pt idx="3">
                  <c:v>0.30243902439024339</c:v>
                </c:pt>
                <c:pt idx="4">
                  <c:v>-0.69512195121951292</c:v>
                </c:pt>
                <c:pt idx="5">
                  <c:v>-0.66341463414634183</c:v>
                </c:pt>
                <c:pt idx="6">
                  <c:v>-0.87560975609756164</c:v>
                </c:pt>
                <c:pt idx="7">
                  <c:v>-1.1707317073170738</c:v>
                </c:pt>
                <c:pt idx="8">
                  <c:v>-2.3414634146341466</c:v>
                </c:pt>
                <c:pt idx="9">
                  <c:v>-2.2512195121951222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4-469B-9E1D-F90A897B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923984"/>
        <c:axId val="1232924464"/>
      </c:lineChart>
      <c:catAx>
        <c:axId val="123292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924464"/>
        <c:crosses val="autoZero"/>
        <c:auto val="1"/>
        <c:lblAlgn val="ctr"/>
        <c:lblOffset val="100"/>
        <c:noMultiLvlLbl val="0"/>
      </c:catAx>
      <c:valAx>
        <c:axId val="12329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92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胸径!$E$2:$E$11</c:f>
              <c:numCache>
                <c:formatCode>General</c:formatCode>
                <c:ptCount val="10"/>
                <c:pt idx="0">
                  <c:v>1.7073170731707214E-2</c:v>
                </c:pt>
                <c:pt idx="1">
                  <c:v>0.44878048780487717</c:v>
                </c:pt>
                <c:pt idx="2">
                  <c:v>0.52926829268292597</c:v>
                </c:pt>
                <c:pt idx="3">
                  <c:v>0.30243902439024339</c:v>
                </c:pt>
                <c:pt idx="4">
                  <c:v>0.69512195121951292</c:v>
                </c:pt>
                <c:pt idx="5">
                  <c:v>0.66341463414634183</c:v>
                </c:pt>
                <c:pt idx="6">
                  <c:v>0.87560975609756164</c:v>
                </c:pt>
                <c:pt idx="7">
                  <c:v>1.1707317073170738</c:v>
                </c:pt>
                <c:pt idx="8">
                  <c:v>2.3414634146341466</c:v>
                </c:pt>
                <c:pt idx="9">
                  <c:v>2.2512195121951222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5-476D-9A64-436484DA9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452656"/>
        <c:axId val="645450256"/>
      </c:lineChart>
      <c:catAx>
        <c:axId val="6454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50256"/>
        <c:crosses val="autoZero"/>
        <c:auto val="1"/>
        <c:lblAlgn val="ctr"/>
        <c:lblOffset val="100"/>
        <c:noMultiLvlLbl val="0"/>
      </c:catAx>
      <c:valAx>
        <c:axId val="6454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17</xdr:row>
      <xdr:rowOff>146050</xdr:rowOff>
    </xdr:from>
    <xdr:to>
      <xdr:col>13</xdr:col>
      <xdr:colOff>298450</xdr:colOff>
      <xdr:row>33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49DD2C-4542-08CA-3F89-63D791F3C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431800</xdr:colOff>
      <xdr:row>35</xdr:row>
      <xdr:rowOff>95250</xdr:rowOff>
    </xdr:from>
    <xdr:to>
      <xdr:col>13</xdr:col>
      <xdr:colOff>381000</xdr:colOff>
      <xdr:row>50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AF094B-EE40-CEC1-B23F-1647EF13E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361950</xdr:colOff>
      <xdr:row>0</xdr:row>
      <xdr:rowOff>88900</xdr:rowOff>
    </xdr:from>
    <xdr:to>
      <xdr:col>13</xdr:col>
      <xdr:colOff>311150</xdr:colOff>
      <xdr:row>15</xdr:row>
      <xdr:rowOff>165100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9231FC5-3507-9704-1329-177485A9F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76200</xdr:colOff>
      <xdr:row>12</xdr:row>
      <xdr:rowOff>127000</xdr:rowOff>
    </xdr:from>
    <xdr:to>
      <xdr:col>18</xdr:col>
      <xdr:colOff>25400</xdr:colOff>
      <xdr:row>28</xdr:row>
      <xdr:rowOff>25400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F56D007-3200-AD89-C14A-AD7A937EB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A61F-597C-4B3A-9406-95E3B8B63C3F}">
  <dimension ref="A1:CR45"/>
  <sheetViews>
    <sheetView tabSelected="1" topLeftCell="E10" workbookViewId="0">
      <selection activeCell="T35" sqref="T35"/>
    </sheetView>
  </sheetViews>
  <sheetFormatPr defaultRowHeight="14" x14ac:dyDescent="0.3"/>
  <cols>
    <col min="13" max="14" width="16.4140625" customWidth="1"/>
  </cols>
  <sheetData>
    <row r="1" spans="1:96" x14ac:dyDescent="0.3">
      <c r="A1" s="3" t="s">
        <v>14</v>
      </c>
      <c r="B1" s="3"/>
      <c r="C1" s="3"/>
      <c r="D1" s="3"/>
      <c r="G1" s="3" t="s">
        <v>4</v>
      </c>
      <c r="H1" s="3"/>
      <c r="I1" s="3"/>
      <c r="J1" s="3"/>
      <c r="L1" s="2" t="s">
        <v>21</v>
      </c>
      <c r="M1" s="1" t="s">
        <v>19</v>
      </c>
      <c r="N1" s="1" t="s">
        <v>20</v>
      </c>
      <c r="Q1" s="3" t="s">
        <v>5</v>
      </c>
      <c r="R1" s="3"/>
      <c r="S1" s="3"/>
      <c r="T1" s="3"/>
      <c r="V1" s="2" t="s">
        <v>21</v>
      </c>
      <c r="W1" s="1" t="s">
        <v>19</v>
      </c>
      <c r="X1" s="1" t="s">
        <v>20</v>
      </c>
      <c r="Z1" s="3" t="s">
        <v>6</v>
      </c>
      <c r="AA1" s="3"/>
      <c r="AB1" s="3"/>
      <c r="AC1" s="3"/>
      <c r="AE1" s="2" t="s">
        <v>21</v>
      </c>
      <c r="AF1" s="1" t="s">
        <v>19</v>
      </c>
      <c r="AG1" s="1" t="s">
        <v>20</v>
      </c>
      <c r="AI1" s="3" t="s">
        <v>7</v>
      </c>
      <c r="AJ1" s="3"/>
      <c r="AK1" s="3"/>
      <c r="AL1" s="3"/>
      <c r="AN1" s="2" t="s">
        <v>21</v>
      </c>
      <c r="AO1" s="1" t="s">
        <v>19</v>
      </c>
      <c r="AP1" s="1" t="s">
        <v>20</v>
      </c>
      <c r="AR1" s="3" t="s">
        <v>8</v>
      </c>
      <c r="AS1" s="3"/>
      <c r="AT1" s="3"/>
      <c r="AU1" s="3"/>
      <c r="AW1" s="2" t="s">
        <v>21</v>
      </c>
      <c r="AX1" s="1" t="s">
        <v>19</v>
      </c>
      <c r="AY1" s="1" t="s">
        <v>20</v>
      </c>
      <c r="BA1" s="3" t="s">
        <v>9</v>
      </c>
      <c r="BB1" s="3"/>
      <c r="BC1" s="3"/>
      <c r="BD1" s="3"/>
      <c r="BF1" s="2" t="s">
        <v>21</v>
      </c>
      <c r="BG1" s="1" t="s">
        <v>19</v>
      </c>
      <c r="BH1" s="1" t="s">
        <v>20</v>
      </c>
      <c r="BJ1" s="3" t="s">
        <v>10</v>
      </c>
      <c r="BK1" s="3"/>
      <c r="BL1" s="3"/>
      <c r="BM1" s="3"/>
      <c r="BO1" s="2" t="s">
        <v>21</v>
      </c>
      <c r="BP1" s="1" t="s">
        <v>19</v>
      </c>
      <c r="BQ1" s="1" t="s">
        <v>20</v>
      </c>
      <c r="BS1" s="3" t="s">
        <v>11</v>
      </c>
      <c r="BT1" s="3"/>
      <c r="BU1" s="3"/>
      <c r="BV1" s="3"/>
      <c r="BX1" s="2" t="s">
        <v>21</v>
      </c>
      <c r="BY1" s="1" t="s">
        <v>19</v>
      </c>
      <c r="BZ1" s="1" t="s">
        <v>20</v>
      </c>
      <c r="CB1" s="3" t="s">
        <v>12</v>
      </c>
      <c r="CC1" s="3"/>
      <c r="CD1" s="3"/>
      <c r="CE1" s="3"/>
      <c r="CG1" s="2" t="s">
        <v>21</v>
      </c>
      <c r="CH1" s="1" t="s">
        <v>19</v>
      </c>
      <c r="CI1" s="1" t="s">
        <v>20</v>
      </c>
      <c r="CK1" s="3" t="s">
        <v>13</v>
      </c>
      <c r="CL1" s="3"/>
      <c r="CM1" s="3"/>
      <c r="CN1" s="3"/>
      <c r="CP1" s="2" t="s">
        <v>21</v>
      </c>
      <c r="CQ1" s="1" t="s">
        <v>19</v>
      </c>
      <c r="CR1" s="1" t="s">
        <v>20</v>
      </c>
    </row>
    <row r="2" spans="1:96" x14ac:dyDescent="0.3">
      <c r="A2" t="s">
        <v>0</v>
      </c>
      <c r="B2" t="s">
        <v>1</v>
      </c>
      <c r="C2" t="s">
        <v>2</v>
      </c>
      <c r="D2" t="s">
        <v>3</v>
      </c>
      <c r="G2" t="s">
        <v>2</v>
      </c>
      <c r="H2" t="s">
        <v>0</v>
      </c>
      <c r="I2" t="s">
        <v>1</v>
      </c>
      <c r="J2" t="s">
        <v>3</v>
      </c>
      <c r="K2" t="s">
        <v>18</v>
      </c>
      <c r="L2" s="1" t="s">
        <v>15</v>
      </c>
      <c r="M2" s="1" t="s">
        <v>16</v>
      </c>
      <c r="N2" s="1" t="s">
        <v>17</v>
      </c>
      <c r="Q2" t="s">
        <v>2</v>
      </c>
      <c r="R2" t="s">
        <v>0</v>
      </c>
      <c r="S2" t="s">
        <v>1</v>
      </c>
      <c r="T2" t="s">
        <v>3</v>
      </c>
      <c r="U2" t="s">
        <v>18</v>
      </c>
      <c r="V2" s="1" t="s">
        <v>15</v>
      </c>
      <c r="W2" s="1" t="s">
        <v>16</v>
      </c>
      <c r="X2" s="1" t="s">
        <v>17</v>
      </c>
      <c r="Z2" t="s">
        <v>2</v>
      </c>
      <c r="AA2" t="s">
        <v>0</v>
      </c>
      <c r="AB2" t="s">
        <v>1</v>
      </c>
      <c r="AC2" t="s">
        <v>3</v>
      </c>
      <c r="AD2" t="s">
        <v>18</v>
      </c>
      <c r="AE2" s="1" t="s">
        <v>15</v>
      </c>
      <c r="AF2" s="1" t="s">
        <v>16</v>
      </c>
      <c r="AG2" s="1" t="s">
        <v>17</v>
      </c>
      <c r="AI2" t="s">
        <v>2</v>
      </c>
      <c r="AJ2" t="s">
        <v>0</v>
      </c>
      <c r="AK2" t="s">
        <v>1</v>
      </c>
      <c r="AL2" t="s">
        <v>3</v>
      </c>
      <c r="AM2" t="s">
        <v>18</v>
      </c>
      <c r="AN2" s="1" t="s">
        <v>15</v>
      </c>
      <c r="AO2" s="1" t="s">
        <v>16</v>
      </c>
      <c r="AP2" s="1" t="s">
        <v>17</v>
      </c>
      <c r="AR2" t="s">
        <v>2</v>
      </c>
      <c r="AS2" t="s">
        <v>0</v>
      </c>
      <c r="AT2" t="s">
        <v>1</v>
      </c>
      <c r="AU2" t="s">
        <v>3</v>
      </c>
      <c r="AV2" t="s">
        <v>18</v>
      </c>
      <c r="AW2" s="1" t="s">
        <v>15</v>
      </c>
      <c r="AX2" s="1" t="s">
        <v>16</v>
      </c>
      <c r="AY2" s="1" t="s">
        <v>17</v>
      </c>
      <c r="BA2" t="s">
        <v>2</v>
      </c>
      <c r="BB2" t="s">
        <v>0</v>
      </c>
      <c r="BC2" t="s">
        <v>1</v>
      </c>
      <c r="BD2" t="s">
        <v>3</v>
      </c>
      <c r="BE2" t="s">
        <v>18</v>
      </c>
      <c r="BF2" s="1" t="s">
        <v>15</v>
      </c>
      <c r="BG2" s="1" t="s">
        <v>16</v>
      </c>
      <c r="BH2" s="1" t="s">
        <v>17</v>
      </c>
      <c r="BJ2" t="s">
        <v>2</v>
      </c>
      <c r="BK2" t="s">
        <v>0</v>
      </c>
      <c r="BL2" t="s">
        <v>1</v>
      </c>
      <c r="BM2" t="s">
        <v>3</v>
      </c>
      <c r="BN2" t="s">
        <v>18</v>
      </c>
      <c r="BO2" s="1" t="s">
        <v>15</v>
      </c>
      <c r="BP2" s="1" t="s">
        <v>16</v>
      </c>
      <c r="BQ2" s="1" t="s">
        <v>17</v>
      </c>
      <c r="BS2" t="s">
        <v>2</v>
      </c>
      <c r="BT2" t="s">
        <v>0</v>
      </c>
      <c r="BU2" t="s">
        <v>1</v>
      </c>
      <c r="BV2" t="s">
        <v>3</v>
      </c>
      <c r="BW2" t="s">
        <v>18</v>
      </c>
      <c r="BX2" s="1" t="s">
        <v>15</v>
      </c>
      <c r="BY2" s="1" t="s">
        <v>16</v>
      </c>
      <c r="BZ2" s="1" t="s">
        <v>17</v>
      </c>
      <c r="CB2" t="s">
        <v>2</v>
      </c>
      <c r="CC2" t="s">
        <v>0</v>
      </c>
      <c r="CD2" t="s">
        <v>1</v>
      </c>
      <c r="CE2" t="s">
        <v>3</v>
      </c>
      <c r="CF2" t="s">
        <v>18</v>
      </c>
      <c r="CG2" s="1" t="s">
        <v>15</v>
      </c>
      <c r="CH2" s="1" t="s">
        <v>16</v>
      </c>
      <c r="CI2" s="1" t="s">
        <v>17</v>
      </c>
      <c r="CK2" t="s">
        <v>2</v>
      </c>
      <c r="CL2" t="s">
        <v>0</v>
      </c>
      <c r="CM2" t="s">
        <v>1</v>
      </c>
      <c r="CN2" t="s">
        <v>3</v>
      </c>
      <c r="CO2" t="s">
        <v>18</v>
      </c>
      <c r="CP2" s="1" t="s">
        <v>15</v>
      </c>
      <c r="CQ2" s="1" t="s">
        <v>16</v>
      </c>
      <c r="CR2" s="1" t="s">
        <v>17</v>
      </c>
    </row>
    <row r="3" spans="1:96" x14ac:dyDescent="0.3">
      <c r="A3">
        <v>0.54086000000000001</v>
      </c>
      <c r="B3">
        <v>-6.0444000000000004</v>
      </c>
      <c r="C3">
        <v>1</v>
      </c>
      <c r="D3">
        <v>0.16900000000000001</v>
      </c>
      <c r="E3">
        <f>D3*100</f>
        <v>16.900000000000002</v>
      </c>
      <c r="G3">
        <v>1</v>
      </c>
      <c r="H3">
        <v>0.625</v>
      </c>
      <c r="I3">
        <v>-5.7969999999999997</v>
      </c>
      <c r="J3">
        <v>0.18</v>
      </c>
      <c r="K3">
        <f t="shared" ref="K3:K28" si="0">J3*100</f>
        <v>18</v>
      </c>
      <c r="L3" s="1">
        <f>K3-E3</f>
        <v>1.0999999999999979</v>
      </c>
      <c r="M3" s="1">
        <f>L3*L3</f>
        <v>1.2099999999999953</v>
      </c>
      <c r="N3" s="1">
        <f>K3/E3-1</f>
        <v>6.5088757396449592E-2</v>
      </c>
      <c r="Q3">
        <v>1</v>
      </c>
      <c r="R3">
        <v>0.58691000000000004</v>
      </c>
      <c r="S3">
        <v>-6.0055800000000001</v>
      </c>
      <c r="T3">
        <v>0.188</v>
      </c>
      <c r="U3">
        <f t="shared" ref="U3:U28" si="1">T3*100</f>
        <v>18.8</v>
      </c>
      <c r="V3" s="1">
        <f>U3-E3</f>
        <v>1.8999999999999986</v>
      </c>
      <c r="W3" s="1">
        <f>V3*V3</f>
        <v>3.6099999999999945</v>
      </c>
      <c r="X3" s="1">
        <f>U3/E3-1</f>
        <v>0.11242603550295849</v>
      </c>
      <c r="Z3">
        <v>1</v>
      </c>
      <c r="AA3">
        <v>0.64200000000000002</v>
      </c>
      <c r="AB3">
        <v>-5.8</v>
      </c>
      <c r="AC3">
        <v>0.188</v>
      </c>
      <c r="AD3">
        <f t="shared" ref="AD3:AD21" si="2">AC3*100</f>
        <v>18.8</v>
      </c>
      <c r="AE3" s="1">
        <f>AD3-E3</f>
        <v>1.8999999999999986</v>
      </c>
      <c r="AF3" s="1">
        <f>AE3*AE3</f>
        <v>3.6099999999999945</v>
      </c>
      <c r="AG3" s="1">
        <f>AD3/E3-1</f>
        <v>0.11242603550295849</v>
      </c>
      <c r="AI3">
        <v>1</v>
      </c>
      <c r="AJ3">
        <v>0.58006000000000002</v>
      </c>
      <c r="AK3">
        <v>-5.8191699999999997</v>
      </c>
      <c r="AL3">
        <v>0.189</v>
      </c>
      <c r="AM3">
        <f t="shared" ref="AM3:AM28" si="3">AL3*100</f>
        <v>18.899999999999999</v>
      </c>
      <c r="AN3" s="1">
        <f>AM3-E3</f>
        <v>1.9999999999999964</v>
      </c>
      <c r="AO3" s="1">
        <f>AN3*AN3</f>
        <v>3.9999999999999858</v>
      </c>
      <c r="AP3" s="1">
        <f>AM3/E3-1</f>
        <v>0.11834319526627191</v>
      </c>
      <c r="AR3">
        <v>1</v>
      </c>
      <c r="AS3">
        <v>0.63200000000000001</v>
      </c>
      <c r="AT3">
        <v>-5.806</v>
      </c>
      <c r="AU3">
        <v>0.191</v>
      </c>
      <c r="AV3">
        <f t="shared" ref="AV3:AV28" si="4">AU3*100</f>
        <v>19.100000000000001</v>
      </c>
      <c r="AW3" s="1">
        <f>AV3-E3</f>
        <v>2.1999999999999993</v>
      </c>
      <c r="AX3" s="1">
        <f>AW3*AW3</f>
        <v>4.8399999999999972</v>
      </c>
      <c r="AY3" s="1">
        <f>AV3/E3-1</f>
        <v>0.13017751479289941</v>
      </c>
      <c r="BA3">
        <v>1</v>
      </c>
      <c r="BB3">
        <v>0.629</v>
      </c>
      <c r="BC3">
        <v>-5.8259999999999996</v>
      </c>
      <c r="BD3">
        <v>0.188</v>
      </c>
      <c r="BE3">
        <f t="shared" ref="BE3:BE28" si="5">BD3*100</f>
        <v>18.8</v>
      </c>
      <c r="BF3" s="1">
        <f>BE3-E3</f>
        <v>1.8999999999999986</v>
      </c>
      <c r="BG3" s="1">
        <f>BF3*BF3</f>
        <v>3.6099999999999945</v>
      </c>
      <c r="BH3" s="1">
        <f>BE3/E3-1</f>
        <v>0.11242603550295849</v>
      </c>
      <c r="BJ3">
        <v>1</v>
      </c>
      <c r="BK3">
        <v>0.63200000000000001</v>
      </c>
      <c r="BL3">
        <v>-5.806</v>
      </c>
      <c r="BM3">
        <v>0.18099999999999999</v>
      </c>
      <c r="BN3">
        <f t="shared" ref="BN3:BN28" si="6">BM3*100</f>
        <v>18.099999999999998</v>
      </c>
      <c r="BO3" s="1">
        <f>BN3-E3</f>
        <v>1.1999999999999957</v>
      </c>
      <c r="BP3" s="1">
        <f>BO3*BO3</f>
        <v>1.4399999999999897</v>
      </c>
      <c r="BQ3" s="1">
        <f>BN3/E3-1</f>
        <v>7.100591715976301E-2</v>
      </c>
      <c r="BS3">
        <v>1</v>
      </c>
      <c r="BT3">
        <v>0.629</v>
      </c>
      <c r="BU3">
        <v>-5.8259999999999996</v>
      </c>
      <c r="BV3">
        <v>0.188</v>
      </c>
      <c r="BW3">
        <f t="shared" ref="BW3:BW28" si="7">BV3*100</f>
        <v>18.8</v>
      </c>
      <c r="BX3" s="1">
        <f>BW3-E3</f>
        <v>1.8999999999999986</v>
      </c>
      <c r="BY3" s="1">
        <f>BX3*BX3</f>
        <v>3.6099999999999945</v>
      </c>
      <c r="BZ3" s="1">
        <f>BW3/E3-1</f>
        <v>0.11242603550295849</v>
      </c>
      <c r="CB3">
        <v>1</v>
      </c>
      <c r="CC3">
        <v>0.63400000000000001</v>
      </c>
      <c r="CD3">
        <v>-5.8090000000000002</v>
      </c>
      <c r="CE3">
        <v>0.19700000000000001</v>
      </c>
      <c r="CF3">
        <f t="shared" ref="CF3:CF28" si="8">CE3*100</f>
        <v>19.7</v>
      </c>
      <c r="CG3" s="1">
        <f>CF3-E3</f>
        <v>2.7999999999999972</v>
      </c>
      <c r="CH3" s="1">
        <f>CG3*CG3</f>
        <v>7.8399999999999839</v>
      </c>
      <c r="CI3" s="1">
        <f>CF3/E3-1</f>
        <v>0.1656804733727808</v>
      </c>
      <c r="CK3">
        <v>1</v>
      </c>
      <c r="CL3">
        <v>0.65900000000000003</v>
      </c>
      <c r="CM3">
        <v>-5.8040000000000003</v>
      </c>
      <c r="CN3">
        <v>0.19</v>
      </c>
      <c r="CO3">
        <f t="shared" ref="CO3:CO28" si="9">CN3*100</f>
        <v>19</v>
      </c>
      <c r="CP3" s="1">
        <f>CO3-E3</f>
        <v>2.0999999999999979</v>
      </c>
      <c r="CQ3" s="1">
        <f>CP3*CP3</f>
        <v>4.4099999999999913</v>
      </c>
      <c r="CR3" s="1">
        <f>CO3/E3-1</f>
        <v>0.12426035502958577</v>
      </c>
    </row>
    <row r="4" spans="1:96" x14ac:dyDescent="0.3">
      <c r="A4">
        <v>6.1349799999999997</v>
      </c>
      <c r="B4">
        <v>-25.674340000000001</v>
      </c>
      <c r="C4">
        <v>2</v>
      </c>
      <c r="D4">
        <v>0.18200000000000002</v>
      </c>
      <c r="E4">
        <f t="shared" ref="E4:E28" si="10">D4*100</f>
        <v>18.200000000000003</v>
      </c>
      <c r="G4">
        <v>2</v>
      </c>
      <c r="H4">
        <v>6.0709999999999997</v>
      </c>
      <c r="I4">
        <v>-25.494</v>
      </c>
      <c r="J4">
        <v>0.19999999999999998</v>
      </c>
      <c r="K4">
        <f t="shared" si="0"/>
        <v>20</v>
      </c>
      <c r="L4" s="1">
        <f t="shared" ref="L4:L28" si="11">K4-E4</f>
        <v>1.7999999999999972</v>
      </c>
      <c r="M4" s="1">
        <f t="shared" ref="M4:M28" si="12">L4*L4</f>
        <v>3.2399999999999896</v>
      </c>
      <c r="N4" s="1">
        <f t="shared" ref="N4:N28" si="13">K4/E4-1</f>
        <v>9.8901098901098772E-2</v>
      </c>
      <c r="Q4">
        <v>2</v>
      </c>
      <c r="R4">
        <v>6.18682</v>
      </c>
      <c r="S4">
        <v>-25.683759999999999</v>
      </c>
      <c r="T4">
        <v>0.19500000000000001</v>
      </c>
      <c r="U4">
        <f t="shared" si="1"/>
        <v>19.5</v>
      </c>
      <c r="V4" s="1">
        <f t="shared" ref="V4:V28" si="14">U4-E4</f>
        <v>1.2999999999999972</v>
      </c>
      <c r="W4" s="1">
        <f t="shared" ref="W4:W28" si="15">V4*V4</f>
        <v>1.6899999999999926</v>
      </c>
      <c r="X4" s="1">
        <f t="shared" ref="X4:X28" si="16">U4/E4-1</f>
        <v>7.1428571428571175E-2</v>
      </c>
      <c r="Z4">
        <v>2</v>
      </c>
      <c r="AA4">
        <v>6.125</v>
      </c>
      <c r="AB4">
        <v>-25.462</v>
      </c>
      <c r="AC4">
        <v>0.152</v>
      </c>
      <c r="AD4">
        <f t="shared" si="2"/>
        <v>15.2</v>
      </c>
      <c r="AE4" s="1">
        <f t="shared" ref="AE4:AE27" si="17">AD4-E4</f>
        <v>-3.0000000000000036</v>
      </c>
      <c r="AF4" s="1">
        <f t="shared" ref="AF4:AF27" si="18">AE4*AE4</f>
        <v>9.0000000000000213</v>
      </c>
      <c r="AG4" s="1">
        <f t="shared" ref="AG4:AG28" si="19">AD4/E4-1</f>
        <v>-0.16483516483516503</v>
      </c>
      <c r="AI4">
        <v>2</v>
      </c>
      <c r="AJ4">
        <v>6.1938599999999999</v>
      </c>
      <c r="AK4">
        <v>-25.52234</v>
      </c>
      <c r="AL4">
        <v>0.20200000000000001</v>
      </c>
      <c r="AM4">
        <f t="shared" si="3"/>
        <v>20.200000000000003</v>
      </c>
      <c r="AN4" s="1">
        <f t="shared" ref="AN4:AN28" si="20">AM4-E4</f>
        <v>2</v>
      </c>
      <c r="AO4" s="1">
        <f t="shared" ref="AO4:AO28" si="21">AN4*AN4</f>
        <v>4</v>
      </c>
      <c r="AP4" s="1">
        <f t="shared" ref="AP4:AP28" si="22">AM4/E4-1</f>
        <v>0.10989010989010994</v>
      </c>
      <c r="AR4">
        <v>2</v>
      </c>
      <c r="AS4">
        <v>6.1109999999999998</v>
      </c>
      <c r="AT4">
        <v>-25.475999999999999</v>
      </c>
      <c r="AU4">
        <v>0.19500000000000001</v>
      </c>
      <c r="AV4">
        <f t="shared" si="4"/>
        <v>19.5</v>
      </c>
      <c r="AW4" s="1">
        <f t="shared" ref="AW4:AW28" si="23">AV4-E4</f>
        <v>1.2999999999999972</v>
      </c>
      <c r="AX4" s="1">
        <f t="shared" ref="AX4:AX28" si="24">AW4*AW4</f>
        <v>1.6899999999999926</v>
      </c>
      <c r="AY4" s="1">
        <f t="shared" ref="AY4:AY28" si="25">AV4/E4-1</f>
        <v>7.1428571428571175E-2</v>
      </c>
      <c r="BA4">
        <v>2</v>
      </c>
      <c r="BB4">
        <v>6.1609999999999996</v>
      </c>
      <c r="BC4">
        <v>-25.466999999999999</v>
      </c>
      <c r="BD4">
        <v>0.188</v>
      </c>
      <c r="BE4">
        <f t="shared" si="5"/>
        <v>18.8</v>
      </c>
      <c r="BF4" s="1">
        <f t="shared" ref="BF4:BF28" si="26">BE4-E4</f>
        <v>0.59999999999999787</v>
      </c>
      <c r="BG4" s="1">
        <f t="shared" ref="BG4:BG28" si="27">BF4*BF4</f>
        <v>0.35999999999999743</v>
      </c>
      <c r="BH4" s="1">
        <f t="shared" ref="BH4:BH28" si="28">BE4/E4-1</f>
        <v>3.296703296703285E-2</v>
      </c>
      <c r="BJ4">
        <v>2</v>
      </c>
      <c r="BK4">
        <v>6.1109999999999998</v>
      </c>
      <c r="BL4">
        <v>-25.475999999999999</v>
      </c>
      <c r="BM4">
        <v>0.185</v>
      </c>
      <c r="BN4">
        <f t="shared" si="6"/>
        <v>18.5</v>
      </c>
      <c r="BO4" s="1">
        <f t="shared" ref="BO4:BO28" si="29">BN4-E4</f>
        <v>0.29999999999999716</v>
      </c>
      <c r="BP4" s="1">
        <f t="shared" ref="BP4:BP28" si="30">BO4*BO4</f>
        <v>8.999999999999829E-2</v>
      </c>
      <c r="BQ4" s="1">
        <f t="shared" ref="BQ4:BQ28" si="31">BN4/E4-1</f>
        <v>1.6483516483516425E-2</v>
      </c>
      <c r="BS4">
        <v>2</v>
      </c>
      <c r="BT4">
        <v>6.1609999999999996</v>
      </c>
      <c r="BU4">
        <v>-25.466999999999999</v>
      </c>
      <c r="BV4">
        <v>0.188</v>
      </c>
      <c r="BW4">
        <f t="shared" si="7"/>
        <v>18.8</v>
      </c>
      <c r="BX4" s="1">
        <f t="shared" ref="BX4:BX28" si="32">BW4-E4</f>
        <v>0.59999999999999787</v>
      </c>
      <c r="BY4" s="1">
        <f t="shared" ref="BY4:BY28" si="33">BX4*BX4</f>
        <v>0.35999999999999743</v>
      </c>
      <c r="BZ4" s="1">
        <f t="shared" ref="BZ4:BZ28" si="34">BW4/E4-1</f>
        <v>3.296703296703285E-2</v>
      </c>
      <c r="CB4">
        <v>2</v>
      </c>
      <c r="CC4">
        <v>6.1660000000000004</v>
      </c>
      <c r="CD4">
        <v>-25.46</v>
      </c>
      <c r="CE4">
        <v>0.183</v>
      </c>
      <c r="CF4">
        <f t="shared" si="8"/>
        <v>18.3</v>
      </c>
      <c r="CG4" s="1">
        <f t="shared" ref="CG4:CG28" si="35">CF4-E4</f>
        <v>9.9999999999997868E-2</v>
      </c>
      <c r="CH4" s="1">
        <f t="shared" ref="CH4:CH28" si="36">CG4*CG4</f>
        <v>9.9999999999995735E-3</v>
      </c>
      <c r="CI4" s="1">
        <f t="shared" ref="CI4:CI28" si="37">CF4/E4-1</f>
        <v>5.494505494505475E-3</v>
      </c>
      <c r="CK4">
        <v>2</v>
      </c>
      <c r="CL4">
        <v>6.2140000000000004</v>
      </c>
      <c r="CM4">
        <v>-25.462</v>
      </c>
      <c r="CN4">
        <v>0.16</v>
      </c>
      <c r="CO4">
        <f t="shared" si="9"/>
        <v>16</v>
      </c>
      <c r="CP4" s="1">
        <f t="shared" ref="CP4:CP28" si="38">CO4-E4</f>
        <v>-2.2000000000000028</v>
      </c>
      <c r="CQ4" s="1">
        <f t="shared" ref="CQ4:CQ28" si="39">CP4*CP4</f>
        <v>4.8400000000000123</v>
      </c>
      <c r="CR4" s="1">
        <f t="shared" ref="CR4:CR28" si="40">CO4/E4-1</f>
        <v>-0.120879120879121</v>
      </c>
    </row>
    <row r="5" spans="1:96" x14ac:dyDescent="0.3">
      <c r="A5">
        <v>6.53728</v>
      </c>
      <c r="B5">
        <v>-20.156279999999999</v>
      </c>
      <c r="C5">
        <v>3</v>
      </c>
      <c r="D5">
        <v>0.23500000000000001</v>
      </c>
      <c r="E5">
        <f t="shared" si="10"/>
        <v>23.5</v>
      </c>
      <c r="G5">
        <v>3</v>
      </c>
      <c r="H5">
        <v>6.5179999999999998</v>
      </c>
      <c r="I5">
        <v>-19.957999999999998</v>
      </c>
      <c r="J5">
        <v>0.251</v>
      </c>
      <c r="K5">
        <f t="shared" si="0"/>
        <v>25.1</v>
      </c>
      <c r="L5" s="1">
        <f t="shared" si="11"/>
        <v>1.6000000000000014</v>
      </c>
      <c r="M5" s="1">
        <f t="shared" si="12"/>
        <v>2.5600000000000045</v>
      </c>
      <c r="N5" s="1">
        <f t="shared" si="13"/>
        <v>6.8085106382978822E-2</v>
      </c>
      <c r="Q5">
        <v>3</v>
      </c>
      <c r="R5">
        <v>6.5870899999999999</v>
      </c>
      <c r="S5">
        <v>-20.144079999999999</v>
      </c>
      <c r="T5">
        <v>0.25800000000000001</v>
      </c>
      <c r="U5">
        <f t="shared" si="1"/>
        <v>25.8</v>
      </c>
      <c r="V5" s="1">
        <f t="shared" si="14"/>
        <v>2.3000000000000007</v>
      </c>
      <c r="W5" s="1">
        <f t="shared" si="15"/>
        <v>5.2900000000000036</v>
      </c>
      <c r="X5" s="1">
        <f t="shared" si="16"/>
        <v>9.7872340425531945E-2</v>
      </c>
      <c r="Z5">
        <v>3</v>
      </c>
      <c r="AA5">
        <v>6.5579999999999998</v>
      </c>
      <c r="AB5">
        <v>-19.934000000000001</v>
      </c>
      <c r="AC5">
        <v>0.254</v>
      </c>
      <c r="AD5">
        <f t="shared" si="2"/>
        <v>25.4</v>
      </c>
      <c r="AE5" s="1">
        <f t="shared" si="17"/>
        <v>1.8999999999999986</v>
      </c>
      <c r="AF5" s="1">
        <f t="shared" si="18"/>
        <v>3.6099999999999945</v>
      </c>
      <c r="AG5" s="1">
        <f t="shared" si="19"/>
        <v>8.085106382978724E-2</v>
      </c>
      <c r="AI5">
        <v>3</v>
      </c>
      <c r="AJ5">
        <v>6.5924899999999997</v>
      </c>
      <c r="AK5">
        <v>-19.990100000000002</v>
      </c>
      <c r="AL5">
        <v>0.26100000000000001</v>
      </c>
      <c r="AM5">
        <f t="shared" si="3"/>
        <v>26.1</v>
      </c>
      <c r="AN5" s="1">
        <f t="shared" si="20"/>
        <v>2.6000000000000014</v>
      </c>
      <c r="AO5" s="1">
        <f t="shared" si="21"/>
        <v>6.7600000000000078</v>
      </c>
      <c r="AP5" s="1">
        <f t="shared" si="22"/>
        <v>0.11063829787234059</v>
      </c>
      <c r="AR5">
        <v>3</v>
      </c>
      <c r="AS5">
        <v>6.5510000000000002</v>
      </c>
      <c r="AT5">
        <v>-19.943000000000001</v>
      </c>
      <c r="AU5">
        <v>0.25900000000000001</v>
      </c>
      <c r="AV5">
        <f t="shared" si="4"/>
        <v>25.900000000000002</v>
      </c>
      <c r="AW5" s="1">
        <f t="shared" si="23"/>
        <v>2.4000000000000021</v>
      </c>
      <c r="AX5" s="1">
        <f t="shared" si="24"/>
        <v>5.7600000000000104</v>
      </c>
      <c r="AY5" s="1">
        <f t="shared" si="25"/>
        <v>0.10212765957446823</v>
      </c>
      <c r="BA5">
        <v>3</v>
      </c>
      <c r="BB5">
        <v>6.5940000000000003</v>
      </c>
      <c r="BC5">
        <v>-19.95</v>
      </c>
      <c r="BD5">
        <v>0.255</v>
      </c>
      <c r="BE5">
        <f t="shared" si="5"/>
        <v>25.5</v>
      </c>
      <c r="BF5" s="1">
        <f t="shared" si="26"/>
        <v>2</v>
      </c>
      <c r="BG5" s="1">
        <f t="shared" si="27"/>
        <v>4</v>
      </c>
      <c r="BH5" s="1">
        <f t="shared" si="28"/>
        <v>8.5106382978723305E-2</v>
      </c>
      <c r="BJ5">
        <v>3</v>
      </c>
      <c r="BK5">
        <v>6.5510000000000002</v>
      </c>
      <c r="BL5">
        <v>-19.943000000000001</v>
      </c>
      <c r="BM5">
        <v>0.249</v>
      </c>
      <c r="BN5">
        <f t="shared" si="6"/>
        <v>24.9</v>
      </c>
      <c r="BO5" s="1">
        <f t="shared" si="29"/>
        <v>1.3999999999999986</v>
      </c>
      <c r="BP5" s="1">
        <f t="shared" si="30"/>
        <v>1.959999999999996</v>
      </c>
      <c r="BQ5" s="1">
        <f t="shared" si="31"/>
        <v>5.9574468085106247E-2</v>
      </c>
      <c r="BS5">
        <v>3</v>
      </c>
      <c r="BT5">
        <v>6.5940000000000003</v>
      </c>
      <c r="BU5">
        <v>-19.95</v>
      </c>
      <c r="BV5">
        <v>0.255</v>
      </c>
      <c r="BW5">
        <f t="shared" si="7"/>
        <v>25.5</v>
      </c>
      <c r="BX5" s="1">
        <f t="shared" si="32"/>
        <v>2</v>
      </c>
      <c r="BY5" s="1">
        <f t="shared" si="33"/>
        <v>4</v>
      </c>
      <c r="BZ5" s="1">
        <f t="shared" si="34"/>
        <v>8.5106382978723305E-2</v>
      </c>
      <c r="CB5">
        <v>3</v>
      </c>
      <c r="CC5">
        <v>6.5739999999999998</v>
      </c>
      <c r="CD5">
        <v>-19.934000000000001</v>
      </c>
      <c r="CE5">
        <v>0.253</v>
      </c>
      <c r="CF5">
        <f t="shared" si="8"/>
        <v>25.3</v>
      </c>
      <c r="CG5" s="1">
        <f t="shared" si="35"/>
        <v>1.8000000000000007</v>
      </c>
      <c r="CH5" s="1">
        <f t="shared" si="36"/>
        <v>3.2400000000000024</v>
      </c>
      <c r="CI5" s="1">
        <f t="shared" si="37"/>
        <v>7.6595744680851174E-2</v>
      </c>
      <c r="CK5">
        <v>3</v>
      </c>
      <c r="CL5">
        <v>6.5919999999999996</v>
      </c>
      <c r="CM5">
        <v>-19.937999999999999</v>
      </c>
      <c r="CN5">
        <v>0.26500000000000001</v>
      </c>
      <c r="CO5">
        <f t="shared" si="9"/>
        <v>26.5</v>
      </c>
      <c r="CP5" s="1">
        <f t="shared" si="38"/>
        <v>3</v>
      </c>
      <c r="CQ5" s="1">
        <f t="shared" si="39"/>
        <v>9</v>
      </c>
      <c r="CR5" s="1">
        <f t="shared" si="40"/>
        <v>0.12765957446808507</v>
      </c>
    </row>
    <row r="6" spans="1:96" x14ac:dyDescent="0.3">
      <c r="A6">
        <v>10.57273</v>
      </c>
      <c r="B6">
        <v>-25.672699999999999</v>
      </c>
      <c r="C6">
        <v>4</v>
      </c>
      <c r="D6">
        <v>0.19</v>
      </c>
      <c r="E6">
        <f t="shared" si="10"/>
        <v>19</v>
      </c>
      <c r="G6">
        <v>4</v>
      </c>
      <c r="H6">
        <v>10.497</v>
      </c>
      <c r="I6">
        <v>-25.52</v>
      </c>
      <c r="J6">
        <v>0.22899999999999998</v>
      </c>
      <c r="K6">
        <f t="shared" si="0"/>
        <v>22.9</v>
      </c>
      <c r="L6" s="1">
        <f t="shared" si="11"/>
        <v>3.8999999999999986</v>
      </c>
      <c r="M6" s="1">
        <f t="shared" si="12"/>
        <v>15.209999999999988</v>
      </c>
      <c r="N6" s="1">
        <f t="shared" si="13"/>
        <v>0.20526315789473681</v>
      </c>
      <c r="Q6">
        <v>4</v>
      </c>
      <c r="R6">
        <v>10.625030000000001</v>
      </c>
      <c r="S6">
        <v>-25.691420000000001</v>
      </c>
      <c r="T6">
        <v>0.21299999999999999</v>
      </c>
      <c r="U6">
        <f t="shared" si="1"/>
        <v>21.3</v>
      </c>
      <c r="V6" s="1">
        <f t="shared" si="14"/>
        <v>2.3000000000000007</v>
      </c>
      <c r="W6" s="1">
        <f t="shared" si="15"/>
        <v>5.2900000000000036</v>
      </c>
      <c r="X6" s="1">
        <f t="shared" si="16"/>
        <v>0.1210526315789473</v>
      </c>
      <c r="Z6">
        <v>4</v>
      </c>
      <c r="AA6">
        <v>10.569000000000001</v>
      </c>
      <c r="AB6">
        <v>-25.474</v>
      </c>
      <c r="AC6">
        <v>0.17499999999999999</v>
      </c>
      <c r="AD6">
        <f t="shared" si="2"/>
        <v>17.5</v>
      </c>
      <c r="AE6" s="1">
        <f t="shared" si="17"/>
        <v>-1.5</v>
      </c>
      <c r="AF6" s="1">
        <f t="shared" si="18"/>
        <v>2.25</v>
      </c>
      <c r="AG6" s="1">
        <f t="shared" si="19"/>
        <v>-7.8947368421052655E-2</v>
      </c>
      <c r="AI6">
        <v>4</v>
      </c>
      <c r="AJ6">
        <v>10.64373</v>
      </c>
      <c r="AK6">
        <v>-25.55078</v>
      </c>
      <c r="AL6">
        <v>0.215</v>
      </c>
      <c r="AM6">
        <f t="shared" si="3"/>
        <v>21.5</v>
      </c>
      <c r="AN6" s="1">
        <f t="shared" si="20"/>
        <v>2.5</v>
      </c>
      <c r="AO6" s="1">
        <f t="shared" si="21"/>
        <v>6.25</v>
      </c>
      <c r="AP6" s="1">
        <f t="shared" si="22"/>
        <v>0.13157894736842102</v>
      </c>
      <c r="AR6">
        <v>4</v>
      </c>
      <c r="AS6">
        <v>10.564</v>
      </c>
      <c r="AT6">
        <v>-25.498000000000001</v>
      </c>
      <c r="AU6">
        <v>0.20100000000000001</v>
      </c>
      <c r="AV6">
        <f t="shared" si="4"/>
        <v>20.100000000000001</v>
      </c>
      <c r="AW6" s="1">
        <f t="shared" si="23"/>
        <v>1.1000000000000014</v>
      </c>
      <c r="AX6" s="1">
        <f t="shared" si="24"/>
        <v>1.2100000000000031</v>
      </c>
      <c r="AY6" s="1">
        <f t="shared" si="25"/>
        <v>5.7894736842105443E-2</v>
      </c>
      <c r="BA6">
        <v>4</v>
      </c>
      <c r="BB6">
        <v>10.614000000000001</v>
      </c>
      <c r="BC6">
        <v>-25.483000000000001</v>
      </c>
      <c r="BD6">
        <v>0.19400000000000001</v>
      </c>
      <c r="BE6">
        <f t="shared" si="5"/>
        <v>19.400000000000002</v>
      </c>
      <c r="BF6" s="1">
        <f t="shared" si="26"/>
        <v>0.40000000000000213</v>
      </c>
      <c r="BG6" s="1">
        <f t="shared" si="27"/>
        <v>0.1600000000000017</v>
      </c>
      <c r="BH6" s="1">
        <f t="shared" si="28"/>
        <v>2.1052631578947434E-2</v>
      </c>
      <c r="BJ6">
        <v>4</v>
      </c>
      <c r="BK6">
        <v>10.564</v>
      </c>
      <c r="BL6">
        <v>-25.498000000000001</v>
      </c>
      <c r="BM6">
        <v>0.191</v>
      </c>
      <c r="BN6">
        <f t="shared" si="6"/>
        <v>19.100000000000001</v>
      </c>
      <c r="BO6" s="1">
        <f t="shared" si="29"/>
        <v>0.10000000000000142</v>
      </c>
      <c r="BP6" s="1">
        <f t="shared" si="30"/>
        <v>1.0000000000000285E-2</v>
      </c>
      <c r="BQ6" s="1">
        <f t="shared" si="31"/>
        <v>5.2631578947368585E-3</v>
      </c>
      <c r="BS6">
        <v>4</v>
      </c>
      <c r="BT6">
        <v>10.614000000000001</v>
      </c>
      <c r="BU6">
        <v>-25.483000000000001</v>
      </c>
      <c r="BV6">
        <v>0.19400000000000001</v>
      </c>
      <c r="BW6">
        <f t="shared" si="7"/>
        <v>19.400000000000002</v>
      </c>
      <c r="BX6" s="1">
        <f t="shared" si="32"/>
        <v>0.40000000000000213</v>
      </c>
      <c r="BY6" s="1">
        <f t="shared" si="33"/>
        <v>0.1600000000000017</v>
      </c>
      <c r="BZ6" s="1">
        <f t="shared" si="34"/>
        <v>2.1052631578947434E-2</v>
      </c>
      <c r="CB6">
        <v>4</v>
      </c>
      <c r="CC6">
        <v>10.617000000000001</v>
      </c>
      <c r="CD6">
        <v>-25.462</v>
      </c>
      <c r="CE6">
        <v>0.156</v>
      </c>
      <c r="CF6">
        <f t="shared" si="8"/>
        <v>15.6</v>
      </c>
      <c r="CG6" s="1">
        <f t="shared" si="35"/>
        <v>-3.4000000000000004</v>
      </c>
      <c r="CH6" s="1">
        <f t="shared" si="36"/>
        <v>11.560000000000002</v>
      </c>
      <c r="CI6" s="1">
        <f t="shared" si="37"/>
        <v>-0.17894736842105263</v>
      </c>
      <c r="CK6">
        <v>4</v>
      </c>
      <c r="CL6">
        <v>10.612</v>
      </c>
      <c r="CM6">
        <v>-25.486999999999998</v>
      </c>
      <c r="CN6">
        <v>0.20399999999999999</v>
      </c>
      <c r="CO6">
        <f t="shared" si="9"/>
        <v>20.399999999999999</v>
      </c>
      <c r="CP6" s="1">
        <f t="shared" si="38"/>
        <v>1.3999999999999986</v>
      </c>
      <c r="CQ6" s="1">
        <f t="shared" si="39"/>
        <v>1.959999999999996</v>
      </c>
      <c r="CR6" s="1">
        <f t="shared" si="40"/>
        <v>7.3684210526315796E-2</v>
      </c>
    </row>
    <row r="7" spans="1:96" x14ac:dyDescent="0.3">
      <c r="A7">
        <v>0.76097000000000004</v>
      </c>
      <c r="B7">
        <v>-17.44706</v>
      </c>
      <c r="C7">
        <v>5</v>
      </c>
      <c r="D7">
        <v>0.16</v>
      </c>
      <c r="E7">
        <f t="shared" si="10"/>
        <v>16</v>
      </c>
      <c r="G7">
        <v>5</v>
      </c>
      <c r="H7">
        <v>0.76300000000000001</v>
      </c>
      <c r="I7">
        <v>-17.224</v>
      </c>
      <c r="J7">
        <v>0.185</v>
      </c>
      <c r="K7">
        <f t="shared" si="0"/>
        <v>18.5</v>
      </c>
      <c r="L7" s="1">
        <f t="shared" si="11"/>
        <v>2.5</v>
      </c>
      <c r="M7" s="1">
        <f t="shared" si="12"/>
        <v>6.25</v>
      </c>
      <c r="N7" s="1">
        <f t="shared" si="13"/>
        <v>0.15625</v>
      </c>
      <c r="Q7">
        <v>5</v>
      </c>
      <c r="R7">
        <v>0.80886000000000002</v>
      </c>
      <c r="S7">
        <v>-17.428529999999999</v>
      </c>
      <c r="T7">
        <v>0.188</v>
      </c>
      <c r="U7">
        <f t="shared" si="1"/>
        <v>18.8</v>
      </c>
      <c r="V7" s="1">
        <f t="shared" si="14"/>
        <v>2.8000000000000007</v>
      </c>
      <c r="W7" s="1">
        <f t="shared" si="15"/>
        <v>7.8400000000000043</v>
      </c>
      <c r="X7" s="1">
        <f t="shared" si="16"/>
        <v>0.17500000000000004</v>
      </c>
      <c r="Z7">
        <v>5</v>
      </c>
      <c r="AA7">
        <v>0.81100000000000005</v>
      </c>
      <c r="AB7">
        <v>-17.219000000000001</v>
      </c>
      <c r="AC7">
        <v>0.17399999999999999</v>
      </c>
      <c r="AD7">
        <f t="shared" si="2"/>
        <v>17.399999999999999</v>
      </c>
      <c r="AE7" s="1">
        <f t="shared" si="17"/>
        <v>1.3999999999999986</v>
      </c>
      <c r="AF7" s="1">
        <f t="shared" si="18"/>
        <v>1.959999999999996</v>
      </c>
      <c r="AG7" s="1">
        <f t="shared" si="19"/>
        <v>8.7499999999999911E-2</v>
      </c>
      <c r="AI7">
        <v>5</v>
      </c>
      <c r="AJ7">
        <v>0.82498000000000005</v>
      </c>
      <c r="AK7">
        <v>-17.23319</v>
      </c>
      <c r="AL7">
        <v>0.183</v>
      </c>
      <c r="AM7">
        <f t="shared" si="3"/>
        <v>18.3</v>
      </c>
      <c r="AN7" s="1">
        <f t="shared" si="20"/>
        <v>2.3000000000000007</v>
      </c>
      <c r="AO7" s="1">
        <f t="shared" si="21"/>
        <v>5.2900000000000036</v>
      </c>
      <c r="AP7" s="1">
        <f t="shared" si="22"/>
        <v>0.14375000000000004</v>
      </c>
      <c r="AR7">
        <v>5</v>
      </c>
      <c r="AS7">
        <v>0.78100000000000003</v>
      </c>
      <c r="AT7">
        <v>-17.225000000000001</v>
      </c>
      <c r="AU7">
        <v>0.19600000000000001</v>
      </c>
      <c r="AV7">
        <f t="shared" si="4"/>
        <v>19.600000000000001</v>
      </c>
      <c r="AW7" s="1">
        <f t="shared" si="23"/>
        <v>3.6000000000000014</v>
      </c>
      <c r="AX7" s="1">
        <f t="shared" si="24"/>
        <v>12.96000000000001</v>
      </c>
      <c r="AY7" s="1">
        <f t="shared" si="25"/>
        <v>0.22500000000000009</v>
      </c>
      <c r="BA7">
        <v>5</v>
      </c>
      <c r="BB7">
        <v>0.81399999999999995</v>
      </c>
      <c r="BC7">
        <v>-17.227</v>
      </c>
      <c r="BD7">
        <v>0.187</v>
      </c>
      <c r="BE7">
        <f t="shared" si="5"/>
        <v>18.7</v>
      </c>
      <c r="BF7" s="1">
        <f t="shared" si="26"/>
        <v>2.6999999999999993</v>
      </c>
      <c r="BG7" s="1">
        <f t="shared" si="27"/>
        <v>7.2899999999999965</v>
      </c>
      <c r="BH7" s="1">
        <f t="shared" si="28"/>
        <v>0.16874999999999996</v>
      </c>
      <c r="BJ7">
        <v>5</v>
      </c>
      <c r="BK7">
        <v>0.78100000000000003</v>
      </c>
      <c r="BL7">
        <v>-17.225000000000001</v>
      </c>
      <c r="BM7">
        <v>0.186</v>
      </c>
      <c r="BN7">
        <f t="shared" si="6"/>
        <v>18.600000000000001</v>
      </c>
      <c r="BO7" s="1">
        <f t="shared" si="29"/>
        <v>2.6000000000000014</v>
      </c>
      <c r="BP7" s="1">
        <f t="shared" si="30"/>
        <v>6.7600000000000078</v>
      </c>
      <c r="BQ7" s="1">
        <f t="shared" si="31"/>
        <v>0.16250000000000009</v>
      </c>
      <c r="BS7">
        <v>5</v>
      </c>
      <c r="BT7">
        <v>0.81399999999999995</v>
      </c>
      <c r="BU7">
        <v>-17.227</v>
      </c>
      <c r="BV7">
        <v>0.187</v>
      </c>
      <c r="BW7">
        <f t="shared" si="7"/>
        <v>18.7</v>
      </c>
      <c r="BX7" s="1">
        <f t="shared" si="32"/>
        <v>2.6999999999999993</v>
      </c>
      <c r="BY7" s="1">
        <f t="shared" si="33"/>
        <v>7.2899999999999965</v>
      </c>
      <c r="BZ7" s="1">
        <f t="shared" si="34"/>
        <v>0.16874999999999996</v>
      </c>
      <c r="CB7">
        <v>5</v>
      </c>
      <c r="CC7">
        <v>0.83499999999999996</v>
      </c>
      <c r="CD7">
        <v>-17.234999999999999</v>
      </c>
      <c r="CE7">
        <v>0.17499999999999999</v>
      </c>
      <c r="CF7">
        <f t="shared" si="8"/>
        <v>17.5</v>
      </c>
      <c r="CG7" s="1">
        <f t="shared" si="35"/>
        <v>1.5</v>
      </c>
      <c r="CH7" s="1">
        <f t="shared" si="36"/>
        <v>2.25</v>
      </c>
      <c r="CI7" s="1">
        <f t="shared" si="37"/>
        <v>9.375E-2</v>
      </c>
      <c r="CK7">
        <v>5</v>
      </c>
      <c r="CL7">
        <v>0</v>
      </c>
      <c r="CM7">
        <v>0</v>
      </c>
      <c r="CN7">
        <v>0</v>
      </c>
      <c r="CO7">
        <f t="shared" si="9"/>
        <v>0</v>
      </c>
      <c r="CP7" s="1">
        <f t="shared" si="38"/>
        <v>-16</v>
      </c>
      <c r="CQ7" s="1">
        <f t="shared" si="39"/>
        <v>256</v>
      </c>
      <c r="CR7" s="1">
        <f t="shared" si="40"/>
        <v>-1</v>
      </c>
    </row>
    <row r="8" spans="1:96" x14ac:dyDescent="0.3">
      <c r="A8">
        <v>2.8109199999999999</v>
      </c>
      <c r="B8">
        <v>-25.288920000000001</v>
      </c>
      <c r="C8">
        <v>6</v>
      </c>
      <c r="D8">
        <v>0.107</v>
      </c>
      <c r="E8">
        <f t="shared" si="10"/>
        <v>10.7</v>
      </c>
      <c r="G8">
        <v>6</v>
      </c>
      <c r="H8">
        <v>2.774</v>
      </c>
      <c r="I8">
        <v>-25.073</v>
      </c>
      <c r="J8">
        <v>0.112</v>
      </c>
      <c r="K8">
        <f t="shared" si="0"/>
        <v>11.200000000000001</v>
      </c>
      <c r="L8" s="1">
        <f t="shared" si="11"/>
        <v>0.50000000000000178</v>
      </c>
      <c r="M8" s="1">
        <f t="shared" si="12"/>
        <v>0.25000000000000178</v>
      </c>
      <c r="N8" s="1">
        <f t="shared" si="13"/>
        <v>4.6728971962616939E-2</v>
      </c>
      <c r="Q8">
        <v>6</v>
      </c>
      <c r="R8">
        <v>2.8491900000000001</v>
      </c>
      <c r="S8">
        <v>-25.282299999999999</v>
      </c>
      <c r="T8">
        <v>0.14099999999999999</v>
      </c>
      <c r="U8">
        <f t="shared" si="1"/>
        <v>14.099999999999998</v>
      </c>
      <c r="V8" s="1">
        <f t="shared" si="14"/>
        <v>3.3999999999999986</v>
      </c>
      <c r="W8" s="1">
        <f t="shared" si="15"/>
        <v>11.55999999999999</v>
      </c>
      <c r="X8" s="1">
        <f t="shared" si="16"/>
        <v>0.31775700934579421</v>
      </c>
      <c r="Z8">
        <v>6</v>
      </c>
      <c r="AA8">
        <v>2.8079999999999998</v>
      </c>
      <c r="AB8">
        <v>-25.068999999999999</v>
      </c>
      <c r="AC8">
        <v>0.11899999999999999</v>
      </c>
      <c r="AD8">
        <f t="shared" si="2"/>
        <v>11.899999999999999</v>
      </c>
      <c r="AE8" s="1">
        <f t="shared" si="17"/>
        <v>1.1999999999999993</v>
      </c>
      <c r="AF8" s="1">
        <f t="shared" si="18"/>
        <v>1.4399999999999984</v>
      </c>
      <c r="AG8" s="1">
        <f t="shared" si="19"/>
        <v>0.11214953271028039</v>
      </c>
      <c r="AI8">
        <v>6</v>
      </c>
      <c r="AJ8">
        <v>2.8612700000000002</v>
      </c>
      <c r="AK8">
        <v>-25.111339999999998</v>
      </c>
      <c r="AL8">
        <v>0.13100000000000001</v>
      </c>
      <c r="AM8">
        <f t="shared" si="3"/>
        <v>13.100000000000001</v>
      </c>
      <c r="AN8" s="1">
        <f t="shared" si="20"/>
        <v>2.4000000000000021</v>
      </c>
      <c r="AO8" s="1">
        <f t="shared" si="21"/>
        <v>5.7600000000000104</v>
      </c>
      <c r="AP8" s="1">
        <f t="shared" si="22"/>
        <v>0.22429906542056099</v>
      </c>
      <c r="AR8">
        <v>6</v>
      </c>
      <c r="AS8">
        <v>2.7850000000000001</v>
      </c>
      <c r="AT8">
        <v>-25.091999999999999</v>
      </c>
      <c r="AU8">
        <v>0.111</v>
      </c>
      <c r="AV8">
        <f t="shared" si="4"/>
        <v>11.1</v>
      </c>
      <c r="AW8" s="1">
        <f t="shared" si="23"/>
        <v>0.40000000000000036</v>
      </c>
      <c r="AX8" s="1">
        <f t="shared" si="24"/>
        <v>0.16000000000000028</v>
      </c>
      <c r="AY8" s="1">
        <f t="shared" si="25"/>
        <v>3.7383177570093462E-2</v>
      </c>
      <c r="BA8">
        <v>6</v>
      </c>
      <c r="BB8">
        <v>2.835</v>
      </c>
      <c r="BC8">
        <v>-25.094999999999999</v>
      </c>
      <c r="BD8">
        <v>0.13700000000000001</v>
      </c>
      <c r="BE8">
        <f t="shared" si="5"/>
        <v>13.700000000000001</v>
      </c>
      <c r="BF8" s="1">
        <f t="shared" si="26"/>
        <v>3.0000000000000018</v>
      </c>
      <c r="BG8" s="1">
        <f t="shared" si="27"/>
        <v>9.0000000000000107</v>
      </c>
      <c r="BH8" s="1">
        <f t="shared" si="28"/>
        <v>0.28037383177570119</v>
      </c>
      <c r="BJ8">
        <v>6</v>
      </c>
      <c r="BK8">
        <v>2.7850000000000001</v>
      </c>
      <c r="BL8">
        <v>-25.091999999999999</v>
      </c>
      <c r="BM8">
        <v>0.10100000000000001</v>
      </c>
      <c r="BN8">
        <f t="shared" si="6"/>
        <v>10.100000000000001</v>
      </c>
      <c r="BO8" s="1">
        <f t="shared" si="29"/>
        <v>-0.59999999999999787</v>
      </c>
      <c r="BP8" s="1">
        <f t="shared" si="30"/>
        <v>0.35999999999999743</v>
      </c>
      <c r="BQ8" s="1">
        <f t="shared" si="31"/>
        <v>-5.6074766355139971E-2</v>
      </c>
      <c r="BS8">
        <v>6</v>
      </c>
      <c r="BT8">
        <v>2.835</v>
      </c>
      <c r="BU8">
        <v>-25.094999999999999</v>
      </c>
      <c r="BV8">
        <v>0.13700000000000001</v>
      </c>
      <c r="BW8">
        <f t="shared" si="7"/>
        <v>13.700000000000001</v>
      </c>
      <c r="BX8" s="1">
        <f t="shared" si="32"/>
        <v>3.0000000000000018</v>
      </c>
      <c r="BY8" s="1">
        <f t="shared" si="33"/>
        <v>9.0000000000000107</v>
      </c>
      <c r="BZ8" s="1">
        <f t="shared" si="34"/>
        <v>0.28037383177570119</v>
      </c>
      <c r="CB8">
        <v>6</v>
      </c>
      <c r="CC8">
        <v>2.84</v>
      </c>
      <c r="CD8">
        <v>-25.071000000000002</v>
      </c>
      <c r="CE8">
        <v>0.123</v>
      </c>
      <c r="CF8">
        <f t="shared" si="8"/>
        <v>12.3</v>
      </c>
      <c r="CG8" s="1">
        <f t="shared" si="35"/>
        <v>1.6000000000000014</v>
      </c>
      <c r="CH8" s="1">
        <f t="shared" si="36"/>
        <v>2.5600000000000045</v>
      </c>
      <c r="CI8" s="1">
        <f t="shared" si="37"/>
        <v>0.14953271028037407</v>
      </c>
      <c r="CK8">
        <v>6</v>
      </c>
      <c r="CL8">
        <v>2.85</v>
      </c>
      <c r="CM8">
        <v>-25.077999999999999</v>
      </c>
      <c r="CN8">
        <v>0.14699999999999999</v>
      </c>
      <c r="CO8">
        <f t="shared" si="9"/>
        <v>14.7</v>
      </c>
      <c r="CP8" s="1">
        <f t="shared" si="38"/>
        <v>4</v>
      </c>
      <c r="CQ8" s="1">
        <f t="shared" si="39"/>
        <v>16</v>
      </c>
      <c r="CR8" s="1">
        <f t="shared" si="40"/>
        <v>0.37383177570093462</v>
      </c>
    </row>
    <row r="9" spans="1:96" x14ac:dyDescent="0.3">
      <c r="A9">
        <v>6.6716300000000004</v>
      </c>
      <c r="B9">
        <v>-11.24052</v>
      </c>
      <c r="C9">
        <v>7</v>
      </c>
      <c r="D9">
        <v>0.28399999999999997</v>
      </c>
      <c r="E9">
        <f t="shared" si="10"/>
        <v>28.4</v>
      </c>
      <c r="G9">
        <v>7</v>
      </c>
      <c r="H9">
        <v>6.7110000000000003</v>
      </c>
      <c r="I9">
        <v>-11.04</v>
      </c>
      <c r="J9">
        <v>0.318</v>
      </c>
      <c r="K9">
        <f t="shared" si="0"/>
        <v>31.8</v>
      </c>
      <c r="L9" s="1">
        <f t="shared" si="11"/>
        <v>3.4000000000000021</v>
      </c>
      <c r="M9" s="1">
        <f t="shared" si="12"/>
        <v>11.560000000000015</v>
      </c>
      <c r="N9" s="1">
        <f t="shared" si="13"/>
        <v>0.11971830985915499</v>
      </c>
      <c r="Q9">
        <v>7</v>
      </c>
      <c r="R9">
        <v>6.7073799999999997</v>
      </c>
      <c r="S9">
        <v>-11.23152</v>
      </c>
      <c r="T9">
        <v>0.314</v>
      </c>
      <c r="U9">
        <f t="shared" si="1"/>
        <v>31.4</v>
      </c>
      <c r="V9" s="1">
        <f t="shared" si="14"/>
        <v>3</v>
      </c>
      <c r="W9" s="1">
        <f t="shared" si="15"/>
        <v>9</v>
      </c>
      <c r="X9" s="1">
        <f t="shared" si="16"/>
        <v>0.10563380281690149</v>
      </c>
      <c r="Z9">
        <v>7</v>
      </c>
      <c r="AA9">
        <v>6.7309999999999999</v>
      </c>
      <c r="AB9">
        <v>-11.029</v>
      </c>
      <c r="AC9">
        <v>0.30299999999999999</v>
      </c>
      <c r="AD9">
        <f t="shared" si="2"/>
        <v>30.3</v>
      </c>
      <c r="AE9" s="1">
        <f t="shared" si="17"/>
        <v>1.9000000000000021</v>
      </c>
      <c r="AF9" s="1">
        <f t="shared" si="18"/>
        <v>3.6100000000000083</v>
      </c>
      <c r="AG9" s="1">
        <f t="shared" si="19"/>
        <v>6.6901408450704247E-2</v>
      </c>
      <c r="AI9">
        <v>7</v>
      </c>
      <c r="AJ9">
        <v>6.7131600000000002</v>
      </c>
      <c r="AK9">
        <v>-11.072990000000001</v>
      </c>
      <c r="AL9">
        <v>0.32200000000000001</v>
      </c>
      <c r="AM9">
        <f t="shared" si="3"/>
        <v>32.200000000000003</v>
      </c>
      <c r="AN9" s="1">
        <f t="shared" si="20"/>
        <v>3.8000000000000043</v>
      </c>
      <c r="AO9" s="1">
        <f t="shared" si="21"/>
        <v>14.440000000000033</v>
      </c>
      <c r="AP9" s="1">
        <f t="shared" si="22"/>
        <v>0.13380281690140872</v>
      </c>
      <c r="AR9">
        <v>7</v>
      </c>
      <c r="AS9">
        <v>6.7240000000000002</v>
      </c>
      <c r="AT9">
        <v>-11.036</v>
      </c>
      <c r="AU9">
        <v>0.31900000000000001</v>
      </c>
      <c r="AV9">
        <f t="shared" si="4"/>
        <v>31.900000000000002</v>
      </c>
      <c r="AW9" s="1">
        <f t="shared" si="23"/>
        <v>3.5000000000000036</v>
      </c>
      <c r="AX9" s="1">
        <f t="shared" si="24"/>
        <v>12.250000000000025</v>
      </c>
      <c r="AY9" s="1">
        <f t="shared" si="25"/>
        <v>0.12323943661971848</v>
      </c>
      <c r="BA9">
        <v>7</v>
      </c>
      <c r="BB9">
        <v>6.7469999999999999</v>
      </c>
      <c r="BC9">
        <v>-11.032999999999999</v>
      </c>
      <c r="BD9">
        <v>0.312</v>
      </c>
      <c r="BE9">
        <f t="shared" si="5"/>
        <v>31.2</v>
      </c>
      <c r="BF9" s="1">
        <f t="shared" si="26"/>
        <v>2.8000000000000007</v>
      </c>
      <c r="BG9" s="1">
        <f t="shared" si="27"/>
        <v>7.8400000000000043</v>
      </c>
      <c r="BH9" s="1">
        <f t="shared" si="28"/>
        <v>9.8591549295774739E-2</v>
      </c>
      <c r="BJ9">
        <v>7</v>
      </c>
      <c r="BK9">
        <v>6.7240000000000002</v>
      </c>
      <c r="BL9">
        <v>-11.036</v>
      </c>
      <c r="BM9">
        <v>0.309</v>
      </c>
      <c r="BN9">
        <f t="shared" si="6"/>
        <v>30.9</v>
      </c>
      <c r="BO9" s="1">
        <f t="shared" si="29"/>
        <v>2.5</v>
      </c>
      <c r="BP9" s="1">
        <f t="shared" si="30"/>
        <v>6.25</v>
      </c>
      <c r="BQ9" s="1">
        <f t="shared" si="31"/>
        <v>8.8028169014084501E-2</v>
      </c>
      <c r="BS9">
        <v>7</v>
      </c>
      <c r="BT9">
        <v>6.7469999999999999</v>
      </c>
      <c r="BU9">
        <v>-11.032999999999999</v>
      </c>
      <c r="BV9">
        <v>0.312</v>
      </c>
      <c r="BW9">
        <f t="shared" si="7"/>
        <v>31.2</v>
      </c>
      <c r="BX9" s="1">
        <f t="shared" si="32"/>
        <v>2.8000000000000007</v>
      </c>
      <c r="BY9" s="1">
        <f t="shared" si="33"/>
        <v>7.8400000000000043</v>
      </c>
      <c r="BZ9" s="1">
        <f t="shared" si="34"/>
        <v>9.8591549295774739E-2</v>
      </c>
      <c r="CB9">
        <v>7</v>
      </c>
      <c r="CC9">
        <v>6.7439999999999998</v>
      </c>
      <c r="CD9">
        <v>-11.029</v>
      </c>
      <c r="CE9">
        <v>0.32</v>
      </c>
      <c r="CF9">
        <f t="shared" si="8"/>
        <v>32</v>
      </c>
      <c r="CG9" s="1">
        <f t="shared" si="35"/>
        <v>3.6000000000000014</v>
      </c>
      <c r="CH9" s="1">
        <f t="shared" si="36"/>
        <v>12.96000000000001</v>
      </c>
      <c r="CI9" s="1">
        <f t="shared" si="37"/>
        <v>0.12676056338028174</v>
      </c>
      <c r="CK9">
        <v>7</v>
      </c>
      <c r="CL9">
        <v>6.7549999999999999</v>
      </c>
      <c r="CM9">
        <v>-11.032999999999999</v>
      </c>
      <c r="CN9">
        <v>0.31900000000000001</v>
      </c>
      <c r="CO9">
        <f t="shared" si="9"/>
        <v>31.900000000000002</v>
      </c>
      <c r="CP9" s="1">
        <f t="shared" si="38"/>
        <v>3.5000000000000036</v>
      </c>
      <c r="CQ9" s="1">
        <f t="shared" si="39"/>
        <v>12.250000000000025</v>
      </c>
      <c r="CR9" s="1">
        <f t="shared" si="40"/>
        <v>0.12323943661971848</v>
      </c>
    </row>
    <row r="10" spans="1:96" x14ac:dyDescent="0.3">
      <c r="A10">
        <v>11.842280000000001</v>
      </c>
      <c r="B10">
        <v>-11.85844</v>
      </c>
      <c r="C10">
        <v>8</v>
      </c>
      <c r="D10">
        <v>0.21000000000000002</v>
      </c>
      <c r="E10">
        <f t="shared" si="10"/>
        <v>21.000000000000004</v>
      </c>
      <c r="G10">
        <v>8</v>
      </c>
      <c r="H10">
        <v>11.872</v>
      </c>
      <c r="I10">
        <v>-11.705</v>
      </c>
      <c r="J10">
        <v>0.21099999999999999</v>
      </c>
      <c r="K10">
        <f t="shared" si="0"/>
        <v>21.099999999999998</v>
      </c>
      <c r="L10" s="1">
        <f t="shared" si="11"/>
        <v>9.9999999999994316E-2</v>
      </c>
      <c r="M10" s="1">
        <f t="shared" si="12"/>
        <v>9.999999999998864E-3</v>
      </c>
      <c r="N10" s="1">
        <f t="shared" si="13"/>
        <v>4.7619047619045229E-3</v>
      </c>
      <c r="Q10">
        <v>8</v>
      </c>
      <c r="R10">
        <v>11.872960000000001</v>
      </c>
      <c r="S10">
        <v>-11.87912</v>
      </c>
      <c r="T10">
        <v>0.245</v>
      </c>
      <c r="U10">
        <f t="shared" si="1"/>
        <v>24.5</v>
      </c>
      <c r="V10" s="1">
        <f t="shared" si="14"/>
        <v>3.4999999999999964</v>
      </c>
      <c r="W10" s="1">
        <f t="shared" si="15"/>
        <v>12.249999999999975</v>
      </c>
      <c r="X10" s="1">
        <f t="shared" si="16"/>
        <v>0.16666666666666652</v>
      </c>
      <c r="Z10">
        <v>8</v>
      </c>
      <c r="AA10">
        <v>11.898</v>
      </c>
      <c r="AB10">
        <v>-11.677</v>
      </c>
      <c r="AC10">
        <v>0.23</v>
      </c>
      <c r="AD10">
        <f t="shared" si="2"/>
        <v>23</v>
      </c>
      <c r="AE10" s="1">
        <f t="shared" si="17"/>
        <v>1.9999999999999964</v>
      </c>
      <c r="AF10" s="1">
        <f t="shared" si="18"/>
        <v>3.9999999999999858</v>
      </c>
      <c r="AG10" s="1">
        <f t="shared" si="19"/>
        <v>9.5238095238095122E-2</v>
      </c>
      <c r="AI10">
        <v>8</v>
      </c>
      <c r="AJ10">
        <v>11.880990000000001</v>
      </c>
      <c r="AK10">
        <v>-11.74438</v>
      </c>
      <c r="AL10">
        <v>0.246</v>
      </c>
      <c r="AM10">
        <f t="shared" si="3"/>
        <v>24.6</v>
      </c>
      <c r="AN10" s="1">
        <f t="shared" si="20"/>
        <v>3.5999999999999979</v>
      </c>
      <c r="AO10" s="1">
        <f t="shared" si="21"/>
        <v>12.959999999999985</v>
      </c>
      <c r="AP10" s="1">
        <f t="shared" si="22"/>
        <v>0.17142857142857126</v>
      </c>
      <c r="AR10">
        <v>8</v>
      </c>
      <c r="AS10">
        <v>11.879</v>
      </c>
      <c r="AT10">
        <v>-11.686</v>
      </c>
      <c r="AU10">
        <v>0.23400000000000001</v>
      </c>
      <c r="AV10">
        <f t="shared" si="4"/>
        <v>23.400000000000002</v>
      </c>
      <c r="AW10" s="1">
        <f t="shared" si="23"/>
        <v>2.3999999999999986</v>
      </c>
      <c r="AX10" s="1">
        <f t="shared" si="24"/>
        <v>5.7599999999999936</v>
      </c>
      <c r="AY10" s="1">
        <f t="shared" si="25"/>
        <v>0.1142857142857141</v>
      </c>
      <c r="BA10">
        <v>8</v>
      </c>
      <c r="BB10">
        <v>11.92</v>
      </c>
      <c r="BC10">
        <v>-11.673</v>
      </c>
      <c r="BD10">
        <v>0.25600000000000001</v>
      </c>
      <c r="BE10">
        <f t="shared" si="5"/>
        <v>25.6</v>
      </c>
      <c r="BF10" s="1">
        <f t="shared" si="26"/>
        <v>4.5999999999999979</v>
      </c>
      <c r="BG10" s="1">
        <f t="shared" si="27"/>
        <v>21.159999999999979</v>
      </c>
      <c r="BH10" s="1">
        <f t="shared" si="28"/>
        <v>0.21904761904761894</v>
      </c>
      <c r="BJ10">
        <v>8</v>
      </c>
      <c r="BK10">
        <v>11.879</v>
      </c>
      <c r="BL10">
        <v>-11.686</v>
      </c>
      <c r="BM10">
        <v>0.224</v>
      </c>
      <c r="BN10">
        <f t="shared" si="6"/>
        <v>22.400000000000002</v>
      </c>
      <c r="BO10" s="1">
        <f t="shared" si="29"/>
        <v>1.3999999999999986</v>
      </c>
      <c r="BP10" s="1">
        <f t="shared" si="30"/>
        <v>1.959999999999996</v>
      </c>
      <c r="BQ10" s="1">
        <f t="shared" si="31"/>
        <v>6.6666666666666652E-2</v>
      </c>
      <c r="BS10">
        <v>8</v>
      </c>
      <c r="BT10">
        <v>11.92</v>
      </c>
      <c r="BU10">
        <v>-11.673</v>
      </c>
      <c r="BV10">
        <v>0.25600000000000001</v>
      </c>
      <c r="BW10">
        <f t="shared" si="7"/>
        <v>25.6</v>
      </c>
      <c r="BX10" s="1">
        <f t="shared" si="32"/>
        <v>4.5999999999999979</v>
      </c>
      <c r="BY10" s="1">
        <f t="shared" si="33"/>
        <v>21.159999999999979</v>
      </c>
      <c r="BZ10" s="1">
        <f t="shared" si="34"/>
        <v>0.21904761904761894</v>
      </c>
      <c r="CB10">
        <v>8</v>
      </c>
      <c r="CC10">
        <v>11.911</v>
      </c>
      <c r="CD10">
        <v>-11.673</v>
      </c>
      <c r="CE10">
        <v>0.23899999999999999</v>
      </c>
      <c r="CF10">
        <f t="shared" si="8"/>
        <v>23.9</v>
      </c>
      <c r="CG10" s="1">
        <f t="shared" si="35"/>
        <v>2.899999999999995</v>
      </c>
      <c r="CH10" s="1">
        <f t="shared" si="36"/>
        <v>8.4099999999999717</v>
      </c>
      <c r="CI10" s="1">
        <f t="shared" si="37"/>
        <v>0.13809523809523783</v>
      </c>
      <c r="CK10">
        <v>8</v>
      </c>
      <c r="CL10">
        <v>11.92</v>
      </c>
      <c r="CM10">
        <v>-11.673</v>
      </c>
      <c r="CN10">
        <v>0.24299999999999999</v>
      </c>
      <c r="CO10">
        <f t="shared" si="9"/>
        <v>24.3</v>
      </c>
      <c r="CP10" s="1">
        <f t="shared" si="38"/>
        <v>3.2999999999999972</v>
      </c>
      <c r="CQ10" s="1">
        <f t="shared" si="39"/>
        <v>10.889999999999981</v>
      </c>
      <c r="CR10" s="1">
        <f t="shared" si="40"/>
        <v>0.15714285714285703</v>
      </c>
    </row>
    <row r="11" spans="1:96" x14ac:dyDescent="0.3">
      <c r="A11">
        <v>1.1643399999999999</v>
      </c>
      <c r="B11">
        <v>-8.7027699999999992</v>
      </c>
      <c r="C11">
        <v>9</v>
      </c>
      <c r="D11">
        <v>0.20300000000000001</v>
      </c>
      <c r="E11">
        <f t="shared" si="10"/>
        <v>20.3</v>
      </c>
      <c r="G11">
        <v>9</v>
      </c>
      <c r="H11">
        <v>1.2270000000000001</v>
      </c>
      <c r="I11">
        <v>-8.4640000000000004</v>
      </c>
      <c r="J11">
        <v>0.21</v>
      </c>
      <c r="K11">
        <f t="shared" si="0"/>
        <v>21</v>
      </c>
      <c r="L11" s="1">
        <f t="shared" si="11"/>
        <v>0.69999999999999929</v>
      </c>
      <c r="M11" s="1">
        <f t="shared" si="12"/>
        <v>0.48999999999999899</v>
      </c>
      <c r="N11" s="1">
        <f t="shared" si="13"/>
        <v>3.4482758620689724E-2</v>
      </c>
      <c r="Q11">
        <v>9</v>
      </c>
      <c r="R11">
        <v>1.21295</v>
      </c>
      <c r="S11">
        <v>-8.6645199999999996</v>
      </c>
      <c r="T11">
        <v>0.219</v>
      </c>
      <c r="U11">
        <f t="shared" si="1"/>
        <v>21.9</v>
      </c>
      <c r="V11" s="1">
        <f t="shared" si="14"/>
        <v>1.5999999999999979</v>
      </c>
      <c r="W11" s="1">
        <f t="shared" si="15"/>
        <v>2.5599999999999934</v>
      </c>
      <c r="X11" s="1">
        <f t="shared" si="16"/>
        <v>7.8817733990147687E-2</v>
      </c>
      <c r="Z11">
        <v>9</v>
      </c>
      <c r="AA11">
        <v>1.2589999999999999</v>
      </c>
      <c r="AB11">
        <v>-8.4550000000000001</v>
      </c>
      <c r="AC11">
        <v>0.252</v>
      </c>
      <c r="AD11">
        <f t="shared" si="2"/>
        <v>25.2</v>
      </c>
      <c r="AE11" s="1">
        <f t="shared" si="17"/>
        <v>4.8999999999999986</v>
      </c>
      <c r="AF11" s="1">
        <f t="shared" si="18"/>
        <v>24.009999999999987</v>
      </c>
      <c r="AG11" s="1">
        <f t="shared" si="19"/>
        <v>0.2413793103448274</v>
      </c>
      <c r="AI11">
        <v>9</v>
      </c>
      <c r="AJ11">
        <v>1.2183900000000001</v>
      </c>
      <c r="AK11">
        <v>-8.4750999999999994</v>
      </c>
      <c r="AL11">
        <v>0.222</v>
      </c>
      <c r="AM11">
        <f t="shared" si="3"/>
        <v>22.2</v>
      </c>
      <c r="AN11" s="1">
        <f t="shared" si="20"/>
        <v>1.8999999999999986</v>
      </c>
      <c r="AO11" s="1">
        <f t="shared" si="21"/>
        <v>3.6099999999999945</v>
      </c>
      <c r="AP11" s="1">
        <f t="shared" si="22"/>
        <v>9.3596059113300489E-2</v>
      </c>
      <c r="AR11">
        <v>9</v>
      </c>
      <c r="AS11">
        <v>1.254</v>
      </c>
      <c r="AT11">
        <v>-8.4710000000000001</v>
      </c>
      <c r="AU11">
        <v>0.221</v>
      </c>
      <c r="AV11">
        <f t="shared" si="4"/>
        <v>22.1</v>
      </c>
      <c r="AW11" s="1">
        <f t="shared" si="23"/>
        <v>1.8000000000000007</v>
      </c>
      <c r="AX11" s="1">
        <f t="shared" si="24"/>
        <v>3.2400000000000024</v>
      </c>
      <c r="AY11" s="1">
        <f t="shared" si="25"/>
        <v>8.866995073891637E-2</v>
      </c>
      <c r="BA11">
        <v>9</v>
      </c>
      <c r="BB11">
        <v>1.248</v>
      </c>
      <c r="BC11">
        <v>-8.4740000000000002</v>
      </c>
      <c r="BD11">
        <v>0.22800000000000001</v>
      </c>
      <c r="BE11">
        <f t="shared" si="5"/>
        <v>22.8</v>
      </c>
      <c r="BF11" s="1">
        <f t="shared" si="26"/>
        <v>2.5</v>
      </c>
      <c r="BG11" s="1">
        <f t="shared" si="27"/>
        <v>6.25</v>
      </c>
      <c r="BH11" s="1">
        <f t="shared" si="28"/>
        <v>0.12315270935960587</v>
      </c>
      <c r="BJ11">
        <v>9</v>
      </c>
      <c r="BK11">
        <v>1.254</v>
      </c>
      <c r="BL11">
        <v>-8.4710000000000001</v>
      </c>
      <c r="BM11">
        <v>0.21099999999999999</v>
      </c>
      <c r="BN11">
        <f t="shared" si="6"/>
        <v>21.099999999999998</v>
      </c>
      <c r="BO11" s="1">
        <f t="shared" si="29"/>
        <v>0.79999999999999716</v>
      </c>
      <c r="BP11" s="1">
        <f t="shared" si="30"/>
        <v>0.63999999999999546</v>
      </c>
      <c r="BQ11" s="1">
        <f t="shared" si="31"/>
        <v>3.9408866995073843E-2</v>
      </c>
      <c r="BS11">
        <v>9</v>
      </c>
      <c r="BT11">
        <v>1.248</v>
      </c>
      <c r="BU11">
        <v>-8.4740000000000002</v>
      </c>
      <c r="BV11">
        <v>0.22800000000000001</v>
      </c>
      <c r="BW11">
        <f t="shared" si="7"/>
        <v>22.8</v>
      </c>
      <c r="BX11" s="1">
        <f t="shared" si="32"/>
        <v>2.5</v>
      </c>
      <c r="BY11" s="1">
        <f t="shared" si="33"/>
        <v>6.25</v>
      </c>
      <c r="BZ11" s="1">
        <f t="shared" si="34"/>
        <v>0.12315270935960587</v>
      </c>
      <c r="CB11">
        <v>9</v>
      </c>
      <c r="CC11">
        <v>1.264</v>
      </c>
      <c r="CD11">
        <v>-8.4619999999999997</v>
      </c>
      <c r="CE11">
        <v>0.219</v>
      </c>
      <c r="CF11">
        <f t="shared" si="8"/>
        <v>21.9</v>
      </c>
      <c r="CG11" s="1">
        <f t="shared" si="35"/>
        <v>1.5999999999999979</v>
      </c>
      <c r="CH11" s="1">
        <f t="shared" si="36"/>
        <v>2.5599999999999934</v>
      </c>
      <c r="CI11" s="1">
        <f t="shared" si="37"/>
        <v>7.8817733990147687E-2</v>
      </c>
      <c r="CK11">
        <v>9</v>
      </c>
      <c r="CL11">
        <v>1.2629999999999999</v>
      </c>
      <c r="CM11">
        <v>-8.4700000000000006</v>
      </c>
      <c r="CN11">
        <v>0.218</v>
      </c>
      <c r="CO11">
        <f t="shared" si="9"/>
        <v>21.8</v>
      </c>
      <c r="CP11" s="1">
        <f t="shared" si="38"/>
        <v>1.5</v>
      </c>
      <c r="CQ11" s="1">
        <f t="shared" si="39"/>
        <v>2.25</v>
      </c>
      <c r="CR11" s="1">
        <f t="shared" si="40"/>
        <v>7.3891625615763568E-2</v>
      </c>
    </row>
    <row r="12" spans="1:96" x14ac:dyDescent="0.3">
      <c r="A12">
        <v>0.85860999999999998</v>
      </c>
      <c r="B12">
        <v>-2.5173899999999998</v>
      </c>
      <c r="C12">
        <v>10</v>
      </c>
      <c r="D12">
        <v>0.21400000000000002</v>
      </c>
      <c r="E12">
        <f t="shared" si="10"/>
        <v>21.400000000000002</v>
      </c>
      <c r="G12">
        <v>10</v>
      </c>
      <c r="H12">
        <v>0.94799999999999995</v>
      </c>
      <c r="I12">
        <v>-2.2690000000000001</v>
      </c>
      <c r="J12">
        <v>0.22499999999999998</v>
      </c>
      <c r="K12">
        <f t="shared" si="0"/>
        <v>22.499999999999996</v>
      </c>
      <c r="L12" s="1">
        <f t="shared" si="11"/>
        <v>1.0999999999999943</v>
      </c>
      <c r="M12" s="1">
        <f t="shared" si="12"/>
        <v>1.2099999999999875</v>
      </c>
      <c r="N12" s="1">
        <f t="shared" si="13"/>
        <v>5.1401869158878233E-2</v>
      </c>
      <c r="Q12">
        <v>10</v>
      </c>
      <c r="R12">
        <v>0.85640000000000005</v>
      </c>
      <c r="S12">
        <v>-2.4507699999999999</v>
      </c>
      <c r="T12">
        <v>0.28599999999999998</v>
      </c>
      <c r="U12">
        <f t="shared" si="1"/>
        <v>28.599999999999998</v>
      </c>
      <c r="V12" s="1">
        <f t="shared" si="14"/>
        <v>7.1999999999999957</v>
      </c>
      <c r="W12" s="1">
        <f t="shared" si="15"/>
        <v>51.839999999999939</v>
      </c>
      <c r="X12" s="1">
        <f t="shared" si="16"/>
        <v>0.33644859813084094</v>
      </c>
      <c r="Z12">
        <v>10</v>
      </c>
      <c r="AA12">
        <v>0.95399999999999996</v>
      </c>
      <c r="AB12">
        <v>-2.2759999999999998</v>
      </c>
      <c r="AC12">
        <v>0.24299999999999999</v>
      </c>
      <c r="AD12">
        <f t="shared" si="2"/>
        <v>24.3</v>
      </c>
      <c r="AE12" s="1">
        <f t="shared" si="17"/>
        <v>2.8999999999999986</v>
      </c>
      <c r="AF12" s="1">
        <f t="shared" si="18"/>
        <v>8.4099999999999913</v>
      </c>
      <c r="AG12" s="1">
        <f t="shared" si="19"/>
        <v>0.13551401869158863</v>
      </c>
      <c r="AI12">
        <v>10</v>
      </c>
      <c r="AJ12">
        <v>0.87282000000000004</v>
      </c>
      <c r="AK12">
        <v>-2.2856399999999999</v>
      </c>
      <c r="AL12">
        <v>0.25900000000000001</v>
      </c>
      <c r="AM12">
        <f t="shared" si="3"/>
        <v>25.900000000000002</v>
      </c>
      <c r="AN12" s="1">
        <f t="shared" si="20"/>
        <v>4.5</v>
      </c>
      <c r="AO12" s="1">
        <f t="shared" si="21"/>
        <v>20.25</v>
      </c>
      <c r="AP12" s="1">
        <f t="shared" si="22"/>
        <v>0.21028037383177578</v>
      </c>
      <c r="AR12">
        <v>10</v>
      </c>
      <c r="AS12">
        <v>0.81299999999999994</v>
      </c>
      <c r="AT12">
        <v>-2.226</v>
      </c>
      <c r="AU12">
        <v>0.42199999999999999</v>
      </c>
      <c r="AV12">
        <f t="shared" si="4"/>
        <v>42.199999999999996</v>
      </c>
      <c r="AW12" s="1">
        <f t="shared" si="23"/>
        <v>20.799999999999994</v>
      </c>
      <c r="AX12" s="1">
        <f t="shared" si="24"/>
        <v>432.63999999999976</v>
      </c>
      <c r="AY12" s="1">
        <f t="shared" si="25"/>
        <v>0.97196261682242957</v>
      </c>
      <c r="BA12">
        <v>10</v>
      </c>
      <c r="BB12">
        <v>0.96399999999999997</v>
      </c>
      <c r="BC12">
        <v>-2.29</v>
      </c>
      <c r="BD12">
        <v>0.24399999999999999</v>
      </c>
      <c r="BE12">
        <f t="shared" si="5"/>
        <v>24.4</v>
      </c>
      <c r="BF12" s="1">
        <f t="shared" si="26"/>
        <v>2.9999999999999964</v>
      </c>
      <c r="BG12" s="1">
        <f t="shared" si="27"/>
        <v>8.9999999999999787</v>
      </c>
      <c r="BH12" s="1">
        <f t="shared" si="28"/>
        <v>0.14018691588785037</v>
      </c>
      <c r="BJ12">
        <v>10</v>
      </c>
      <c r="BK12">
        <v>0.81299999999999994</v>
      </c>
      <c r="BL12">
        <v>-2.226</v>
      </c>
      <c r="BM12">
        <v>0.41199999999999998</v>
      </c>
      <c r="BN12">
        <f t="shared" si="6"/>
        <v>41.199999999999996</v>
      </c>
      <c r="BO12" s="1">
        <f t="shared" si="29"/>
        <v>19.799999999999994</v>
      </c>
      <c r="BP12" s="1">
        <f t="shared" si="30"/>
        <v>392.03999999999974</v>
      </c>
      <c r="BQ12" s="1">
        <f t="shared" si="31"/>
        <v>0.92523364485981263</v>
      </c>
      <c r="BS12">
        <v>10</v>
      </c>
      <c r="BT12">
        <v>0.96399999999999997</v>
      </c>
      <c r="BU12">
        <v>-2.29</v>
      </c>
      <c r="BV12">
        <v>0.24399999999999999</v>
      </c>
      <c r="BW12">
        <f t="shared" si="7"/>
        <v>24.4</v>
      </c>
      <c r="BX12" s="1">
        <f t="shared" si="32"/>
        <v>2.9999999999999964</v>
      </c>
      <c r="BY12" s="1">
        <f t="shared" si="33"/>
        <v>8.9999999999999787</v>
      </c>
      <c r="BZ12" s="1">
        <f t="shared" si="34"/>
        <v>0.14018691588785037</v>
      </c>
      <c r="CB12">
        <v>10</v>
      </c>
      <c r="CC12">
        <v>0.94799999999999995</v>
      </c>
      <c r="CD12">
        <v>-2.278</v>
      </c>
      <c r="CE12">
        <v>0.25600000000000001</v>
      </c>
      <c r="CF12">
        <f t="shared" si="8"/>
        <v>25.6</v>
      </c>
      <c r="CG12" s="1">
        <f t="shared" si="35"/>
        <v>4.1999999999999993</v>
      </c>
      <c r="CH12" s="1">
        <f t="shared" si="36"/>
        <v>17.639999999999993</v>
      </c>
      <c r="CI12" s="1">
        <f t="shared" si="37"/>
        <v>0.19626168224299056</v>
      </c>
      <c r="CK12">
        <v>10</v>
      </c>
      <c r="CL12">
        <v>0.94899999999999995</v>
      </c>
      <c r="CM12">
        <v>-2.2749999999999999</v>
      </c>
      <c r="CN12">
        <v>0.26700000000000002</v>
      </c>
      <c r="CO12">
        <f t="shared" si="9"/>
        <v>26.700000000000003</v>
      </c>
      <c r="CP12" s="1">
        <f t="shared" si="38"/>
        <v>5.3000000000000007</v>
      </c>
      <c r="CQ12" s="1">
        <f t="shared" si="39"/>
        <v>28.090000000000007</v>
      </c>
      <c r="CR12" s="1">
        <f t="shared" si="40"/>
        <v>0.24766355140186924</v>
      </c>
    </row>
    <row r="13" spans="1:96" x14ac:dyDescent="0.3">
      <c r="A13">
        <v>11.212</v>
      </c>
      <c r="B13">
        <v>-9.0231300000000001</v>
      </c>
      <c r="C13">
        <v>11</v>
      </c>
      <c r="D13">
        <v>0.22800000000000001</v>
      </c>
      <c r="E13">
        <f t="shared" si="10"/>
        <v>22.8</v>
      </c>
      <c r="G13">
        <v>11</v>
      </c>
      <c r="H13">
        <v>11.26</v>
      </c>
      <c r="I13">
        <v>-8.8550000000000004</v>
      </c>
      <c r="J13">
        <v>0.25700000000000001</v>
      </c>
      <c r="K13">
        <f t="shared" si="0"/>
        <v>25.7</v>
      </c>
      <c r="L13" s="1">
        <f t="shared" si="11"/>
        <v>2.8999999999999986</v>
      </c>
      <c r="M13" s="1">
        <f t="shared" si="12"/>
        <v>8.4099999999999913</v>
      </c>
      <c r="N13" s="1">
        <f t="shared" si="13"/>
        <v>0.12719298245614019</v>
      </c>
      <c r="Q13">
        <v>11</v>
      </c>
      <c r="R13">
        <v>11.23715</v>
      </c>
      <c r="S13">
        <v>-9.0301500000000008</v>
      </c>
      <c r="T13">
        <v>0.25600000000000001</v>
      </c>
      <c r="U13">
        <f t="shared" si="1"/>
        <v>25.6</v>
      </c>
      <c r="V13" s="1">
        <f t="shared" si="14"/>
        <v>2.8000000000000007</v>
      </c>
      <c r="W13" s="1">
        <f t="shared" si="15"/>
        <v>7.8400000000000043</v>
      </c>
      <c r="X13" s="1">
        <f t="shared" si="16"/>
        <v>0.12280701754385959</v>
      </c>
      <c r="Z13">
        <v>11</v>
      </c>
      <c r="AA13">
        <v>11.279</v>
      </c>
      <c r="AB13">
        <v>-8.8330000000000002</v>
      </c>
      <c r="AC13">
        <v>0.247</v>
      </c>
      <c r="AD13">
        <f t="shared" si="2"/>
        <v>24.7</v>
      </c>
      <c r="AE13" s="1">
        <f t="shared" si="17"/>
        <v>1.8999999999999986</v>
      </c>
      <c r="AF13" s="1">
        <f t="shared" si="18"/>
        <v>3.6099999999999945</v>
      </c>
      <c r="AG13" s="1">
        <f t="shared" si="19"/>
        <v>8.3333333333333259E-2</v>
      </c>
      <c r="AI13">
        <v>11</v>
      </c>
      <c r="AJ13">
        <v>11.24713</v>
      </c>
      <c r="AK13">
        <v>-8.8965099999999993</v>
      </c>
      <c r="AL13">
        <v>0.255</v>
      </c>
      <c r="AM13">
        <f t="shared" si="3"/>
        <v>25.5</v>
      </c>
      <c r="AN13" s="1">
        <f t="shared" si="20"/>
        <v>2.6999999999999993</v>
      </c>
      <c r="AO13" s="1">
        <f t="shared" si="21"/>
        <v>7.2899999999999965</v>
      </c>
      <c r="AP13" s="1">
        <f t="shared" si="22"/>
        <v>0.11842105263157898</v>
      </c>
      <c r="AR13">
        <v>11</v>
      </c>
      <c r="AS13">
        <v>11.271000000000001</v>
      </c>
      <c r="AT13">
        <v>-8.8450000000000006</v>
      </c>
      <c r="AU13">
        <v>0.251</v>
      </c>
      <c r="AV13">
        <f t="shared" si="4"/>
        <v>25.1</v>
      </c>
      <c r="AW13" s="1">
        <f t="shared" si="23"/>
        <v>2.3000000000000007</v>
      </c>
      <c r="AX13" s="1">
        <f t="shared" si="24"/>
        <v>5.2900000000000036</v>
      </c>
      <c r="AY13" s="1">
        <f t="shared" si="25"/>
        <v>0.10087719298245612</v>
      </c>
      <c r="BA13">
        <v>11</v>
      </c>
      <c r="BB13">
        <v>11.298999999999999</v>
      </c>
      <c r="BC13">
        <v>-8.8320000000000007</v>
      </c>
      <c r="BD13">
        <v>0.25800000000000001</v>
      </c>
      <c r="BE13">
        <f t="shared" si="5"/>
        <v>25.8</v>
      </c>
      <c r="BF13" s="1">
        <f t="shared" si="26"/>
        <v>3</v>
      </c>
      <c r="BG13" s="1">
        <f t="shared" si="27"/>
        <v>9</v>
      </c>
      <c r="BH13" s="1">
        <f t="shared" si="28"/>
        <v>0.13157894736842102</v>
      </c>
      <c r="BJ13">
        <v>11</v>
      </c>
      <c r="BK13">
        <v>11.271000000000001</v>
      </c>
      <c r="BL13">
        <v>-8.8450000000000006</v>
      </c>
      <c r="BM13">
        <v>0.24099999999999999</v>
      </c>
      <c r="BN13">
        <f t="shared" si="6"/>
        <v>24.099999999999998</v>
      </c>
      <c r="BO13" s="1">
        <f t="shared" si="29"/>
        <v>1.2999999999999972</v>
      </c>
      <c r="BP13" s="1">
        <f t="shared" si="30"/>
        <v>1.6899999999999926</v>
      </c>
      <c r="BQ13" s="1">
        <f t="shared" si="31"/>
        <v>5.7017543859648967E-2</v>
      </c>
      <c r="BS13">
        <v>11</v>
      </c>
      <c r="BT13">
        <v>11.298999999999999</v>
      </c>
      <c r="BU13">
        <v>-8.8320000000000007</v>
      </c>
      <c r="BV13">
        <v>0.25800000000000001</v>
      </c>
      <c r="BW13">
        <f t="shared" si="7"/>
        <v>25.8</v>
      </c>
      <c r="BX13" s="1">
        <f t="shared" si="32"/>
        <v>3</v>
      </c>
      <c r="BY13" s="1">
        <f t="shared" si="33"/>
        <v>9</v>
      </c>
      <c r="BZ13" s="1">
        <f t="shared" si="34"/>
        <v>0.13157894736842102</v>
      </c>
      <c r="CB13">
        <v>11</v>
      </c>
      <c r="CC13">
        <v>11.295</v>
      </c>
      <c r="CD13">
        <v>-8.8239999999999998</v>
      </c>
      <c r="CE13">
        <v>0.25</v>
      </c>
      <c r="CF13">
        <f t="shared" si="8"/>
        <v>25</v>
      </c>
      <c r="CG13" s="1">
        <f t="shared" si="35"/>
        <v>2.1999999999999993</v>
      </c>
      <c r="CH13" s="1">
        <f t="shared" si="36"/>
        <v>4.8399999999999972</v>
      </c>
      <c r="CI13" s="1">
        <f t="shared" si="37"/>
        <v>9.6491228070175294E-2</v>
      </c>
      <c r="CK13">
        <v>11</v>
      </c>
      <c r="CL13">
        <v>11.297000000000001</v>
      </c>
      <c r="CM13">
        <v>-8.8239999999999998</v>
      </c>
      <c r="CN13">
        <v>0.26700000000000002</v>
      </c>
      <c r="CO13">
        <f t="shared" si="9"/>
        <v>26.700000000000003</v>
      </c>
      <c r="CP13" s="1">
        <f t="shared" si="38"/>
        <v>3.9000000000000021</v>
      </c>
      <c r="CQ13" s="1">
        <f t="shared" si="39"/>
        <v>15.210000000000017</v>
      </c>
      <c r="CR13" s="1">
        <f t="shared" si="40"/>
        <v>0.17105263157894757</v>
      </c>
    </row>
    <row r="14" spans="1:96" x14ac:dyDescent="0.3">
      <c r="A14">
        <v>23.146360000000001</v>
      </c>
      <c r="B14">
        <v>-25.698139999999999</v>
      </c>
      <c r="C14">
        <v>12</v>
      </c>
      <c r="D14">
        <v>0.12399999999999999</v>
      </c>
      <c r="E14">
        <f t="shared" si="10"/>
        <v>12.399999999999999</v>
      </c>
      <c r="G14">
        <v>12</v>
      </c>
      <c r="H14">
        <v>23.07</v>
      </c>
      <c r="I14">
        <v>-25.593</v>
      </c>
      <c r="J14">
        <v>0.10199999999999999</v>
      </c>
      <c r="K14">
        <f t="shared" si="0"/>
        <v>10.199999999999999</v>
      </c>
      <c r="L14" s="1">
        <f t="shared" si="11"/>
        <v>-2.1999999999999993</v>
      </c>
      <c r="M14" s="1">
        <f t="shared" si="12"/>
        <v>4.8399999999999972</v>
      </c>
      <c r="N14" s="1">
        <f t="shared" si="13"/>
        <v>-0.17741935483870963</v>
      </c>
      <c r="Q14">
        <v>12</v>
      </c>
      <c r="R14">
        <v>23.19491</v>
      </c>
      <c r="S14">
        <v>-25.735289999999999</v>
      </c>
      <c r="T14">
        <v>0.105</v>
      </c>
      <c r="U14">
        <f t="shared" si="1"/>
        <v>10.5</v>
      </c>
      <c r="V14" s="1">
        <f t="shared" si="14"/>
        <v>-1.8999999999999986</v>
      </c>
      <c r="W14" s="1">
        <f t="shared" si="15"/>
        <v>3.6099999999999945</v>
      </c>
      <c r="X14" s="1">
        <f t="shared" si="16"/>
        <v>-0.15322580645161277</v>
      </c>
      <c r="Z14">
        <v>12</v>
      </c>
      <c r="AA14">
        <v>23.128</v>
      </c>
      <c r="AB14">
        <v>-25.548999999999999</v>
      </c>
      <c r="AC14">
        <v>0.16500000000000001</v>
      </c>
      <c r="AD14">
        <f t="shared" si="2"/>
        <v>16.5</v>
      </c>
      <c r="AE14" s="1">
        <f t="shared" si="17"/>
        <v>4.1000000000000014</v>
      </c>
      <c r="AF14" s="1">
        <f t="shared" si="18"/>
        <v>16.810000000000013</v>
      </c>
      <c r="AG14" s="1">
        <f t="shared" si="19"/>
        <v>0.33064516129032273</v>
      </c>
      <c r="AI14">
        <v>12</v>
      </c>
      <c r="AJ14">
        <v>23.1968</v>
      </c>
      <c r="AK14">
        <v>-25.67428</v>
      </c>
      <c r="AL14">
        <v>0.111</v>
      </c>
      <c r="AM14">
        <f t="shared" si="3"/>
        <v>11.1</v>
      </c>
      <c r="AN14" s="1">
        <f t="shared" si="20"/>
        <v>-1.2999999999999989</v>
      </c>
      <c r="AO14" s="1">
        <f t="shared" si="21"/>
        <v>1.6899999999999973</v>
      </c>
      <c r="AP14" s="1">
        <f t="shared" si="22"/>
        <v>-0.10483870967741926</v>
      </c>
      <c r="AR14">
        <v>12</v>
      </c>
      <c r="AS14">
        <v>23.119</v>
      </c>
      <c r="AT14">
        <v>-25.559000000000001</v>
      </c>
      <c r="AU14">
        <v>0.104</v>
      </c>
      <c r="AV14">
        <f t="shared" si="4"/>
        <v>10.4</v>
      </c>
      <c r="AW14" s="1">
        <f t="shared" si="23"/>
        <v>-1.9999999999999982</v>
      </c>
      <c r="AX14" s="1">
        <f t="shared" si="24"/>
        <v>3.9999999999999929</v>
      </c>
      <c r="AY14" s="1">
        <f t="shared" si="25"/>
        <v>-0.16129032258064502</v>
      </c>
      <c r="BA14">
        <v>12</v>
      </c>
      <c r="BB14">
        <v>23.164000000000001</v>
      </c>
      <c r="BC14">
        <v>-25.521000000000001</v>
      </c>
      <c r="BD14">
        <v>8.5000000000000006E-2</v>
      </c>
      <c r="BE14">
        <f t="shared" si="5"/>
        <v>8.5</v>
      </c>
      <c r="BF14" s="1">
        <f t="shared" si="26"/>
        <v>-3.8999999999999986</v>
      </c>
      <c r="BG14" s="1">
        <f t="shared" si="27"/>
        <v>15.209999999999988</v>
      </c>
      <c r="BH14" s="1">
        <f t="shared" si="28"/>
        <v>-0.31451612903225801</v>
      </c>
      <c r="BJ14">
        <v>12</v>
      </c>
      <c r="BK14">
        <v>23.119</v>
      </c>
      <c r="BL14">
        <v>-25.559000000000001</v>
      </c>
      <c r="BM14">
        <v>9.4E-2</v>
      </c>
      <c r="BN14">
        <f t="shared" si="6"/>
        <v>9.4</v>
      </c>
      <c r="BO14" s="1">
        <f t="shared" si="29"/>
        <v>-2.9999999999999982</v>
      </c>
      <c r="BP14" s="1">
        <f t="shared" si="30"/>
        <v>8.9999999999999893</v>
      </c>
      <c r="BQ14" s="1">
        <f t="shared" si="31"/>
        <v>-0.24193548387096764</v>
      </c>
      <c r="BS14">
        <v>12</v>
      </c>
      <c r="BT14">
        <v>23.164000000000001</v>
      </c>
      <c r="BU14">
        <v>-25.521000000000001</v>
      </c>
      <c r="BV14">
        <v>8.5000000000000006E-2</v>
      </c>
      <c r="BW14">
        <f t="shared" si="7"/>
        <v>8.5</v>
      </c>
      <c r="BX14" s="1">
        <f t="shared" si="32"/>
        <v>-3.8999999999999986</v>
      </c>
      <c r="BY14" s="1">
        <f t="shared" si="33"/>
        <v>15.209999999999988</v>
      </c>
      <c r="BZ14" s="1">
        <f t="shared" si="34"/>
        <v>-0.31451612903225801</v>
      </c>
      <c r="CB14">
        <v>12</v>
      </c>
      <c r="CC14">
        <v>23.146000000000001</v>
      </c>
      <c r="CD14">
        <v>-25.518000000000001</v>
      </c>
      <c r="CE14">
        <v>9.4E-2</v>
      </c>
      <c r="CF14">
        <f t="shared" si="8"/>
        <v>9.4</v>
      </c>
      <c r="CG14" s="1">
        <f t="shared" si="35"/>
        <v>-2.9999999999999982</v>
      </c>
      <c r="CH14" s="1">
        <f t="shared" si="36"/>
        <v>8.9999999999999893</v>
      </c>
      <c r="CI14" s="1">
        <f t="shared" si="37"/>
        <v>-0.24193548387096764</v>
      </c>
      <c r="CK14">
        <v>12</v>
      </c>
      <c r="CL14">
        <v>23.170999999999999</v>
      </c>
      <c r="CM14">
        <v>-25.510999999999999</v>
      </c>
      <c r="CN14">
        <v>0.112</v>
      </c>
      <c r="CO14">
        <f t="shared" si="9"/>
        <v>11.200000000000001</v>
      </c>
      <c r="CP14" s="1">
        <f t="shared" si="38"/>
        <v>-1.1999999999999975</v>
      </c>
      <c r="CQ14" s="1">
        <f t="shared" si="39"/>
        <v>1.439999999999994</v>
      </c>
      <c r="CR14" s="1">
        <f t="shared" si="40"/>
        <v>-9.67741935483869E-2</v>
      </c>
    </row>
    <row r="15" spans="1:96" x14ac:dyDescent="0.3">
      <c r="A15">
        <v>14.131500000000001</v>
      </c>
      <c r="B15">
        <v>-23.028749999999999</v>
      </c>
      <c r="C15">
        <v>13</v>
      </c>
      <c r="D15">
        <v>0.27499999999999997</v>
      </c>
      <c r="E15">
        <f t="shared" si="10"/>
        <v>27.499999999999996</v>
      </c>
      <c r="G15">
        <v>13</v>
      </c>
      <c r="H15">
        <v>14.09</v>
      </c>
      <c r="I15">
        <v>-22.891999999999999</v>
      </c>
      <c r="J15">
        <v>0.3</v>
      </c>
      <c r="K15">
        <f t="shared" si="0"/>
        <v>30</v>
      </c>
      <c r="L15" s="1">
        <f t="shared" si="11"/>
        <v>2.5000000000000036</v>
      </c>
      <c r="M15" s="1">
        <f t="shared" si="12"/>
        <v>6.2500000000000178</v>
      </c>
      <c r="N15" s="1">
        <f t="shared" si="13"/>
        <v>9.090909090909105E-2</v>
      </c>
      <c r="Q15">
        <v>13</v>
      </c>
      <c r="R15">
        <v>14.176819999999999</v>
      </c>
      <c r="S15">
        <v>-23.051670000000001</v>
      </c>
      <c r="T15">
        <v>0.30299999999999999</v>
      </c>
      <c r="U15">
        <f t="shared" si="1"/>
        <v>30.3</v>
      </c>
      <c r="V15" s="1">
        <f t="shared" si="14"/>
        <v>2.8000000000000043</v>
      </c>
      <c r="W15" s="1">
        <f t="shared" si="15"/>
        <v>7.8400000000000238</v>
      </c>
      <c r="X15" s="1">
        <f t="shared" si="16"/>
        <v>0.10181818181818203</v>
      </c>
      <c r="Z15">
        <v>13</v>
      </c>
      <c r="AA15">
        <v>14.14</v>
      </c>
      <c r="AB15">
        <v>-22.844000000000001</v>
      </c>
      <c r="AC15">
        <v>0.29199999999999998</v>
      </c>
      <c r="AD15">
        <f t="shared" si="2"/>
        <v>29.2</v>
      </c>
      <c r="AE15" s="1">
        <f t="shared" si="17"/>
        <v>1.7000000000000028</v>
      </c>
      <c r="AF15" s="1">
        <f t="shared" si="18"/>
        <v>2.8900000000000095</v>
      </c>
      <c r="AG15" s="1">
        <f t="shared" si="19"/>
        <v>6.1818181818181994E-2</v>
      </c>
      <c r="AI15">
        <v>13</v>
      </c>
      <c r="AJ15">
        <v>14.18446</v>
      </c>
      <c r="AK15">
        <v>-22.935279999999999</v>
      </c>
      <c r="AL15">
        <v>0.30099999999999999</v>
      </c>
      <c r="AM15">
        <f t="shared" si="3"/>
        <v>30.099999999999998</v>
      </c>
      <c r="AN15" s="1">
        <f t="shared" si="20"/>
        <v>2.6000000000000014</v>
      </c>
      <c r="AO15" s="1">
        <f t="shared" si="21"/>
        <v>6.7600000000000078</v>
      </c>
      <c r="AP15" s="1">
        <f t="shared" si="22"/>
        <v>9.454545454545471E-2</v>
      </c>
      <c r="AR15">
        <v>13</v>
      </c>
      <c r="AS15">
        <v>14.128</v>
      </c>
      <c r="AT15">
        <v>-22.859000000000002</v>
      </c>
      <c r="AU15">
        <v>0.28699999999999998</v>
      </c>
      <c r="AV15">
        <f t="shared" si="4"/>
        <v>28.7</v>
      </c>
      <c r="AW15" s="1">
        <f t="shared" si="23"/>
        <v>1.2000000000000028</v>
      </c>
      <c r="AX15" s="1">
        <f t="shared" si="24"/>
        <v>1.4400000000000068</v>
      </c>
      <c r="AY15" s="1">
        <f t="shared" si="25"/>
        <v>4.3636363636363695E-2</v>
      </c>
      <c r="BA15">
        <v>13</v>
      </c>
      <c r="BB15">
        <v>14.17</v>
      </c>
      <c r="BC15">
        <v>-22.841999999999999</v>
      </c>
      <c r="BD15">
        <v>0.27100000000000002</v>
      </c>
      <c r="BE15">
        <f t="shared" si="5"/>
        <v>27.1</v>
      </c>
      <c r="BF15" s="1">
        <f t="shared" si="26"/>
        <v>-0.39999999999999503</v>
      </c>
      <c r="BG15" s="1">
        <f t="shared" si="27"/>
        <v>0.15999999999999603</v>
      </c>
      <c r="BH15" s="1">
        <f t="shared" si="28"/>
        <v>-1.4545454545454417E-2</v>
      </c>
      <c r="BJ15">
        <v>13</v>
      </c>
      <c r="BK15">
        <v>14.128</v>
      </c>
      <c r="BL15">
        <v>-22.859000000000002</v>
      </c>
      <c r="BM15">
        <v>0.27699999999999997</v>
      </c>
      <c r="BN15">
        <f t="shared" si="6"/>
        <v>27.699999999999996</v>
      </c>
      <c r="BO15" s="1">
        <f t="shared" si="29"/>
        <v>0.19999999999999929</v>
      </c>
      <c r="BP15" s="1">
        <f t="shared" si="30"/>
        <v>3.9999999999999716E-2</v>
      </c>
      <c r="BQ15" s="1">
        <f t="shared" si="31"/>
        <v>7.2727272727273196E-3</v>
      </c>
      <c r="BS15">
        <v>13</v>
      </c>
      <c r="BT15">
        <v>14.17</v>
      </c>
      <c r="BU15">
        <v>-22.841999999999999</v>
      </c>
      <c r="BV15">
        <v>0.27100000000000002</v>
      </c>
      <c r="BW15">
        <f t="shared" si="7"/>
        <v>27.1</v>
      </c>
      <c r="BX15" s="1">
        <f t="shared" si="32"/>
        <v>-0.39999999999999503</v>
      </c>
      <c r="BY15" s="1">
        <f t="shared" si="33"/>
        <v>0.15999999999999603</v>
      </c>
      <c r="BZ15" s="1">
        <f t="shared" si="34"/>
        <v>-1.4545454545454417E-2</v>
      </c>
      <c r="CB15">
        <v>13</v>
      </c>
      <c r="CC15">
        <v>0</v>
      </c>
      <c r="CD15">
        <v>0</v>
      </c>
      <c r="CE15">
        <v>0</v>
      </c>
      <c r="CF15">
        <f t="shared" si="8"/>
        <v>0</v>
      </c>
      <c r="CG15" s="1">
        <f t="shared" si="35"/>
        <v>-27.499999999999996</v>
      </c>
      <c r="CH15" s="1">
        <f t="shared" si="36"/>
        <v>756.24999999999977</v>
      </c>
      <c r="CI15" s="1">
        <f t="shared" si="37"/>
        <v>-1</v>
      </c>
      <c r="CK15">
        <v>13</v>
      </c>
      <c r="CL15">
        <v>0</v>
      </c>
      <c r="CM15">
        <v>0</v>
      </c>
      <c r="CN15">
        <v>0</v>
      </c>
      <c r="CO15">
        <f t="shared" si="9"/>
        <v>0</v>
      </c>
      <c r="CP15" s="1">
        <f t="shared" si="38"/>
        <v>-27.499999999999996</v>
      </c>
      <c r="CQ15" s="1">
        <f t="shared" si="39"/>
        <v>756.24999999999977</v>
      </c>
      <c r="CR15" s="1">
        <f t="shared" si="40"/>
        <v>-1</v>
      </c>
    </row>
    <row r="16" spans="1:96" x14ac:dyDescent="0.3">
      <c r="A16">
        <v>26.111989999999999</v>
      </c>
      <c r="B16">
        <v>-21.841010000000001</v>
      </c>
      <c r="C16">
        <v>14</v>
      </c>
      <c r="D16">
        <v>0.755</v>
      </c>
      <c r="E16">
        <f t="shared" si="10"/>
        <v>75.5</v>
      </c>
      <c r="G16">
        <v>14</v>
      </c>
      <c r="H16">
        <v>26.093</v>
      </c>
      <c r="I16">
        <v>-21.774999999999999</v>
      </c>
      <c r="J16">
        <v>0.77600000000000002</v>
      </c>
      <c r="K16">
        <f t="shared" si="0"/>
        <v>77.600000000000009</v>
      </c>
      <c r="L16" s="1">
        <f t="shared" si="11"/>
        <v>2.1000000000000085</v>
      </c>
      <c r="M16" s="1">
        <f t="shared" si="12"/>
        <v>4.4100000000000357</v>
      </c>
      <c r="N16" s="1">
        <f t="shared" si="13"/>
        <v>2.7814569536424028E-2</v>
      </c>
      <c r="Q16">
        <v>14</v>
      </c>
      <c r="R16">
        <v>26.149760000000001</v>
      </c>
      <c r="S16">
        <v>-21.88635</v>
      </c>
      <c r="T16">
        <v>0.72499999999999998</v>
      </c>
      <c r="U16">
        <f t="shared" si="1"/>
        <v>72.5</v>
      </c>
      <c r="V16" s="1">
        <f t="shared" si="14"/>
        <v>-3</v>
      </c>
      <c r="W16" s="1">
        <f t="shared" si="15"/>
        <v>9</v>
      </c>
      <c r="X16" s="1">
        <f t="shared" si="16"/>
        <v>-3.9735099337748325E-2</v>
      </c>
      <c r="Z16">
        <v>14</v>
      </c>
      <c r="AA16">
        <v>26.129000000000001</v>
      </c>
      <c r="AB16">
        <v>-21.702999999999999</v>
      </c>
      <c r="AC16">
        <v>0.77500000000000002</v>
      </c>
      <c r="AD16">
        <f t="shared" si="2"/>
        <v>77.5</v>
      </c>
      <c r="AE16" s="1">
        <f t="shared" si="17"/>
        <v>2</v>
      </c>
      <c r="AF16" s="1">
        <f t="shared" si="18"/>
        <v>4</v>
      </c>
      <c r="AG16" s="1">
        <f t="shared" si="19"/>
        <v>2.6490066225165476E-2</v>
      </c>
      <c r="AI16">
        <v>14</v>
      </c>
      <c r="AJ16">
        <v>26.152650000000001</v>
      </c>
      <c r="AK16">
        <v>-21.854289999999999</v>
      </c>
      <c r="AL16">
        <v>0.74399999999999999</v>
      </c>
      <c r="AM16">
        <f t="shared" si="3"/>
        <v>74.400000000000006</v>
      </c>
      <c r="AN16" s="1">
        <f t="shared" si="20"/>
        <v>-1.0999999999999943</v>
      </c>
      <c r="AO16" s="1">
        <f t="shared" si="21"/>
        <v>1.2099999999999875</v>
      </c>
      <c r="AP16" s="1">
        <f t="shared" si="22"/>
        <v>-1.4569536423840956E-2</v>
      </c>
      <c r="AR16">
        <v>14</v>
      </c>
      <c r="AS16">
        <v>26.111999999999998</v>
      </c>
      <c r="AT16">
        <v>-21.718</v>
      </c>
      <c r="AU16">
        <v>0.76700000000000002</v>
      </c>
      <c r="AV16">
        <f t="shared" si="4"/>
        <v>76.7</v>
      </c>
      <c r="AW16" s="1">
        <f t="shared" si="23"/>
        <v>1.2000000000000028</v>
      </c>
      <c r="AX16" s="1">
        <f t="shared" si="24"/>
        <v>1.4400000000000068</v>
      </c>
      <c r="AY16" s="1">
        <f t="shared" si="25"/>
        <v>1.5894039735099286E-2</v>
      </c>
      <c r="BA16">
        <v>14</v>
      </c>
      <c r="BB16">
        <v>26.15</v>
      </c>
      <c r="BC16">
        <v>-21.68</v>
      </c>
      <c r="BD16">
        <v>0.75700000000000001</v>
      </c>
      <c r="BE16">
        <f t="shared" si="5"/>
        <v>75.7</v>
      </c>
      <c r="BF16" s="1">
        <f t="shared" si="26"/>
        <v>0.20000000000000284</v>
      </c>
      <c r="BG16" s="1">
        <f t="shared" si="27"/>
        <v>4.0000000000001139E-2</v>
      </c>
      <c r="BH16" s="1">
        <f t="shared" si="28"/>
        <v>2.6490066225166586E-3</v>
      </c>
      <c r="BJ16">
        <v>14</v>
      </c>
      <c r="BK16">
        <v>26.111999999999998</v>
      </c>
      <c r="BL16">
        <v>-21.718</v>
      </c>
      <c r="BM16">
        <v>0.75700000000000001</v>
      </c>
      <c r="BN16">
        <f t="shared" si="6"/>
        <v>75.7</v>
      </c>
      <c r="BO16" s="1">
        <f t="shared" si="29"/>
        <v>0.20000000000000284</v>
      </c>
      <c r="BP16" s="1">
        <f t="shared" si="30"/>
        <v>4.0000000000001139E-2</v>
      </c>
      <c r="BQ16" s="1">
        <f t="shared" si="31"/>
        <v>2.6490066225166586E-3</v>
      </c>
      <c r="BS16">
        <v>14</v>
      </c>
      <c r="BT16">
        <v>26.15</v>
      </c>
      <c r="BU16">
        <v>-21.68</v>
      </c>
      <c r="BV16">
        <v>0.75700000000000001</v>
      </c>
      <c r="BW16">
        <f t="shared" si="7"/>
        <v>75.7</v>
      </c>
      <c r="BX16" s="1">
        <f t="shared" si="32"/>
        <v>0.20000000000000284</v>
      </c>
      <c r="BY16" s="1">
        <f t="shared" si="33"/>
        <v>4.0000000000001139E-2</v>
      </c>
      <c r="BZ16" s="1">
        <f t="shared" si="34"/>
        <v>2.6490066225166586E-3</v>
      </c>
      <c r="CB16">
        <v>14</v>
      </c>
      <c r="CC16">
        <v>26.125</v>
      </c>
      <c r="CD16">
        <v>-21.687000000000001</v>
      </c>
      <c r="CE16">
        <v>0.75</v>
      </c>
      <c r="CF16">
        <f t="shared" si="8"/>
        <v>75</v>
      </c>
      <c r="CG16" s="1">
        <f t="shared" si="35"/>
        <v>-0.5</v>
      </c>
      <c r="CH16" s="1">
        <f t="shared" si="36"/>
        <v>0.25</v>
      </c>
      <c r="CI16" s="1">
        <f t="shared" si="37"/>
        <v>-6.6225165562914245E-3</v>
      </c>
      <c r="CK16">
        <v>14</v>
      </c>
      <c r="CL16">
        <v>26.134</v>
      </c>
      <c r="CM16">
        <v>-21.683</v>
      </c>
      <c r="CN16">
        <v>0.751</v>
      </c>
      <c r="CO16">
        <f t="shared" si="9"/>
        <v>75.099999999999994</v>
      </c>
      <c r="CP16" s="1">
        <f t="shared" si="38"/>
        <v>-0.40000000000000568</v>
      </c>
      <c r="CQ16" s="1">
        <f t="shared" si="39"/>
        <v>0.16000000000000456</v>
      </c>
      <c r="CR16" s="1">
        <f t="shared" si="40"/>
        <v>-5.2980132450332063E-3</v>
      </c>
    </row>
    <row r="17" spans="1:96" x14ac:dyDescent="0.3">
      <c r="A17">
        <v>12.83549</v>
      </c>
      <c r="B17">
        <v>-17.322410000000001</v>
      </c>
      <c r="C17">
        <v>15</v>
      </c>
      <c r="D17">
        <v>0.2</v>
      </c>
      <c r="E17">
        <f t="shared" si="10"/>
        <v>20</v>
      </c>
      <c r="G17">
        <v>15</v>
      </c>
      <c r="H17">
        <v>12.827</v>
      </c>
      <c r="I17">
        <v>-17.163</v>
      </c>
      <c r="J17">
        <v>0.23</v>
      </c>
      <c r="K17">
        <f t="shared" si="0"/>
        <v>23</v>
      </c>
      <c r="L17" s="1">
        <f t="shared" si="11"/>
        <v>3</v>
      </c>
      <c r="M17" s="1">
        <f t="shared" si="12"/>
        <v>9</v>
      </c>
      <c r="N17" s="1">
        <f t="shared" si="13"/>
        <v>0.14999999999999991</v>
      </c>
      <c r="Q17">
        <v>15</v>
      </c>
      <c r="R17">
        <v>12.87166</v>
      </c>
      <c r="S17">
        <v>-17.334579999999999</v>
      </c>
      <c r="T17">
        <v>0.22800000000000001</v>
      </c>
      <c r="U17">
        <f t="shared" si="1"/>
        <v>22.8</v>
      </c>
      <c r="V17" s="1">
        <f t="shared" si="14"/>
        <v>2.8000000000000007</v>
      </c>
      <c r="W17" s="1">
        <f t="shared" si="15"/>
        <v>7.8400000000000043</v>
      </c>
      <c r="X17" s="1">
        <f t="shared" si="16"/>
        <v>0.14000000000000012</v>
      </c>
      <c r="Z17">
        <v>15</v>
      </c>
      <c r="AA17">
        <v>12.868</v>
      </c>
      <c r="AB17">
        <v>-17.13</v>
      </c>
      <c r="AC17">
        <v>0.218</v>
      </c>
      <c r="AD17">
        <f t="shared" si="2"/>
        <v>21.8</v>
      </c>
      <c r="AE17" s="1">
        <f t="shared" si="17"/>
        <v>1.8000000000000007</v>
      </c>
      <c r="AF17" s="1">
        <f t="shared" si="18"/>
        <v>3.2400000000000024</v>
      </c>
      <c r="AG17" s="1">
        <f t="shared" si="19"/>
        <v>9.000000000000008E-2</v>
      </c>
      <c r="AI17">
        <v>15</v>
      </c>
      <c r="AJ17">
        <v>12.87682</v>
      </c>
      <c r="AK17">
        <v>-17.212109999999999</v>
      </c>
      <c r="AL17">
        <v>0.23599999999999999</v>
      </c>
      <c r="AM17">
        <f t="shared" si="3"/>
        <v>23.599999999999998</v>
      </c>
      <c r="AN17" s="1">
        <f t="shared" si="20"/>
        <v>3.5999999999999979</v>
      </c>
      <c r="AO17" s="1">
        <f t="shared" si="21"/>
        <v>12.959999999999985</v>
      </c>
      <c r="AP17" s="1">
        <f t="shared" si="22"/>
        <v>0.17999999999999994</v>
      </c>
      <c r="AR17">
        <v>15</v>
      </c>
      <c r="AS17">
        <v>12.859</v>
      </c>
      <c r="AT17">
        <v>-17.137</v>
      </c>
      <c r="AU17">
        <v>0.218</v>
      </c>
      <c r="AV17">
        <f t="shared" si="4"/>
        <v>21.8</v>
      </c>
      <c r="AW17" s="1">
        <f t="shared" si="23"/>
        <v>1.8000000000000007</v>
      </c>
      <c r="AX17" s="1">
        <f t="shared" si="24"/>
        <v>3.2400000000000024</v>
      </c>
      <c r="AY17" s="1">
        <f t="shared" si="25"/>
        <v>9.000000000000008E-2</v>
      </c>
      <c r="BA17">
        <v>15</v>
      </c>
      <c r="BB17">
        <v>12.891</v>
      </c>
      <c r="BC17">
        <v>-17.123999999999999</v>
      </c>
      <c r="BD17">
        <v>0.224</v>
      </c>
      <c r="BE17">
        <f t="shared" si="5"/>
        <v>22.400000000000002</v>
      </c>
      <c r="BF17" s="1">
        <f t="shared" si="26"/>
        <v>2.4000000000000021</v>
      </c>
      <c r="BG17" s="1">
        <f t="shared" si="27"/>
        <v>5.7600000000000104</v>
      </c>
      <c r="BH17" s="1">
        <f t="shared" si="28"/>
        <v>0.12000000000000011</v>
      </c>
      <c r="BJ17">
        <v>15</v>
      </c>
      <c r="BK17">
        <v>12.859</v>
      </c>
      <c r="BL17">
        <v>-17.137</v>
      </c>
      <c r="BM17">
        <v>0.20799999999999999</v>
      </c>
      <c r="BN17">
        <f t="shared" si="6"/>
        <v>20.8</v>
      </c>
      <c r="BO17" s="1">
        <f t="shared" si="29"/>
        <v>0.80000000000000071</v>
      </c>
      <c r="BP17" s="1">
        <f t="shared" si="30"/>
        <v>0.64000000000000112</v>
      </c>
      <c r="BQ17" s="1">
        <f t="shared" si="31"/>
        <v>4.0000000000000036E-2</v>
      </c>
      <c r="BS17">
        <v>15</v>
      </c>
      <c r="BT17">
        <v>12.891</v>
      </c>
      <c r="BU17">
        <v>-17.123999999999999</v>
      </c>
      <c r="BV17">
        <v>0.224</v>
      </c>
      <c r="BW17">
        <f t="shared" si="7"/>
        <v>22.400000000000002</v>
      </c>
      <c r="BX17" s="1">
        <f t="shared" si="32"/>
        <v>2.4000000000000021</v>
      </c>
      <c r="BY17" s="1">
        <f t="shared" si="33"/>
        <v>5.7600000000000104</v>
      </c>
      <c r="BZ17" s="1">
        <f t="shared" si="34"/>
        <v>0.12000000000000011</v>
      </c>
      <c r="CB17">
        <v>15</v>
      </c>
      <c r="CC17">
        <v>12.888999999999999</v>
      </c>
      <c r="CD17">
        <v>-17.126999999999999</v>
      </c>
      <c r="CE17">
        <v>0.216</v>
      </c>
      <c r="CF17">
        <f t="shared" si="8"/>
        <v>21.6</v>
      </c>
      <c r="CG17" s="1">
        <f t="shared" si="35"/>
        <v>1.6000000000000014</v>
      </c>
      <c r="CH17" s="1">
        <f t="shared" si="36"/>
        <v>2.5600000000000045</v>
      </c>
      <c r="CI17" s="1">
        <f t="shared" si="37"/>
        <v>8.0000000000000071E-2</v>
      </c>
      <c r="CK17">
        <v>15</v>
      </c>
      <c r="CL17">
        <v>12.893000000000001</v>
      </c>
      <c r="CM17">
        <v>-17.135999999999999</v>
      </c>
      <c r="CN17">
        <v>0.23599999999999999</v>
      </c>
      <c r="CO17">
        <f t="shared" si="9"/>
        <v>23.599999999999998</v>
      </c>
      <c r="CP17" s="1">
        <f t="shared" si="38"/>
        <v>3.5999999999999979</v>
      </c>
      <c r="CQ17" s="1">
        <f t="shared" si="39"/>
        <v>12.959999999999985</v>
      </c>
      <c r="CR17" s="1">
        <f t="shared" si="40"/>
        <v>0.17999999999999994</v>
      </c>
    </row>
    <row r="18" spans="1:96" x14ac:dyDescent="0.3">
      <c r="A18">
        <v>20.492560000000001</v>
      </c>
      <c r="B18">
        <v>-13.30039</v>
      </c>
      <c r="C18">
        <v>16</v>
      </c>
      <c r="D18">
        <v>0.16800000000000001</v>
      </c>
      <c r="E18">
        <f t="shared" si="10"/>
        <v>16.8</v>
      </c>
      <c r="G18">
        <v>16</v>
      </c>
      <c r="H18">
        <v>20.503</v>
      </c>
      <c r="I18">
        <v>-13.183</v>
      </c>
      <c r="J18">
        <v>0.17899999999999999</v>
      </c>
      <c r="K18">
        <f t="shared" si="0"/>
        <v>17.899999999999999</v>
      </c>
      <c r="L18" s="1">
        <f t="shared" si="11"/>
        <v>1.0999999999999979</v>
      </c>
      <c r="M18" s="1">
        <f t="shared" si="12"/>
        <v>1.2099999999999953</v>
      </c>
      <c r="N18" s="1">
        <f t="shared" si="13"/>
        <v>6.5476190476190244E-2</v>
      </c>
      <c r="Q18">
        <v>16</v>
      </c>
      <c r="R18">
        <v>20.51088</v>
      </c>
      <c r="S18">
        <v>-13.334849999999999</v>
      </c>
      <c r="T18">
        <v>0.183</v>
      </c>
      <c r="U18">
        <f t="shared" si="1"/>
        <v>18.3</v>
      </c>
      <c r="V18" s="1">
        <f t="shared" si="14"/>
        <v>1.5</v>
      </c>
      <c r="W18" s="1">
        <f t="shared" si="15"/>
        <v>2.25</v>
      </c>
      <c r="X18" s="1">
        <f t="shared" si="16"/>
        <v>8.9285714285714191E-2</v>
      </c>
      <c r="Z18">
        <v>16</v>
      </c>
      <c r="AA18">
        <v>20.527000000000001</v>
      </c>
      <c r="AB18">
        <v>-13.135999999999999</v>
      </c>
      <c r="AC18">
        <v>0.185</v>
      </c>
      <c r="AD18">
        <f t="shared" si="2"/>
        <v>18.5</v>
      </c>
      <c r="AE18" s="1">
        <f t="shared" si="17"/>
        <v>1.6999999999999993</v>
      </c>
      <c r="AF18" s="1">
        <f t="shared" si="18"/>
        <v>2.8899999999999975</v>
      </c>
      <c r="AG18" s="1">
        <f t="shared" si="19"/>
        <v>0.10119047619047605</v>
      </c>
      <c r="AI18">
        <v>16</v>
      </c>
      <c r="AJ18">
        <v>20.524760000000001</v>
      </c>
      <c r="AK18">
        <v>-13.250349999999999</v>
      </c>
      <c r="AL18">
        <v>0.183</v>
      </c>
      <c r="AM18">
        <f t="shared" si="3"/>
        <v>18.3</v>
      </c>
      <c r="AN18" s="1">
        <f t="shared" si="20"/>
        <v>1.5</v>
      </c>
      <c r="AO18" s="1">
        <f t="shared" si="21"/>
        <v>2.25</v>
      </c>
      <c r="AP18" s="1">
        <f t="shared" si="22"/>
        <v>8.9285714285714191E-2</v>
      </c>
      <c r="AR18">
        <v>16</v>
      </c>
      <c r="AS18">
        <v>20.524999999999999</v>
      </c>
      <c r="AT18">
        <v>-13.151999999999999</v>
      </c>
      <c r="AU18">
        <v>0.17399999999999999</v>
      </c>
      <c r="AV18">
        <f t="shared" si="4"/>
        <v>17.399999999999999</v>
      </c>
      <c r="AW18" s="1">
        <f t="shared" si="23"/>
        <v>0.59999999999999787</v>
      </c>
      <c r="AX18" s="1">
        <f t="shared" si="24"/>
        <v>0.35999999999999743</v>
      </c>
      <c r="AY18" s="1">
        <f t="shared" si="25"/>
        <v>3.5714285714285587E-2</v>
      </c>
      <c r="BA18">
        <v>16</v>
      </c>
      <c r="BB18">
        <v>20.553999999999998</v>
      </c>
      <c r="BC18">
        <v>-13.12</v>
      </c>
      <c r="BD18">
        <v>0.189</v>
      </c>
      <c r="BE18">
        <f t="shared" si="5"/>
        <v>18.899999999999999</v>
      </c>
      <c r="BF18" s="1">
        <f t="shared" si="26"/>
        <v>2.0999999999999979</v>
      </c>
      <c r="BG18" s="1">
        <f t="shared" si="27"/>
        <v>4.4099999999999913</v>
      </c>
      <c r="BH18" s="1">
        <f t="shared" si="28"/>
        <v>0.12499999999999978</v>
      </c>
      <c r="BJ18">
        <v>16</v>
      </c>
      <c r="BK18">
        <v>20.524999999999999</v>
      </c>
      <c r="BL18">
        <v>-13.151999999999999</v>
      </c>
      <c r="BM18">
        <v>0.16399999999999998</v>
      </c>
      <c r="BN18">
        <f t="shared" si="6"/>
        <v>16.399999999999999</v>
      </c>
      <c r="BO18" s="1">
        <f t="shared" si="29"/>
        <v>-0.40000000000000213</v>
      </c>
      <c r="BP18" s="1">
        <f t="shared" si="30"/>
        <v>0.1600000000000017</v>
      </c>
      <c r="BQ18" s="1">
        <f t="shared" si="31"/>
        <v>-2.3809523809523947E-2</v>
      </c>
      <c r="BS18">
        <v>16</v>
      </c>
      <c r="BT18">
        <v>20.553999999999998</v>
      </c>
      <c r="BU18">
        <v>-13.12</v>
      </c>
      <c r="BV18">
        <v>0.189</v>
      </c>
      <c r="BW18">
        <f t="shared" si="7"/>
        <v>18.899999999999999</v>
      </c>
      <c r="BX18" s="1">
        <f t="shared" si="32"/>
        <v>2.0999999999999979</v>
      </c>
      <c r="BY18" s="1">
        <f t="shared" si="33"/>
        <v>4.4099999999999913</v>
      </c>
      <c r="BZ18" s="1">
        <f t="shared" si="34"/>
        <v>0.12499999999999978</v>
      </c>
      <c r="CB18">
        <v>16</v>
      </c>
      <c r="CC18">
        <v>20.542999999999999</v>
      </c>
      <c r="CD18">
        <v>-13.132</v>
      </c>
      <c r="CE18">
        <v>0.189</v>
      </c>
      <c r="CF18">
        <f t="shared" si="8"/>
        <v>18.899999999999999</v>
      </c>
      <c r="CG18" s="1">
        <f t="shared" si="35"/>
        <v>2.0999999999999979</v>
      </c>
      <c r="CH18" s="1">
        <f t="shared" si="36"/>
        <v>4.4099999999999913</v>
      </c>
      <c r="CI18" s="1">
        <f t="shared" si="37"/>
        <v>0.12499999999999978</v>
      </c>
      <c r="CK18">
        <v>16</v>
      </c>
      <c r="CL18">
        <v>20.556000000000001</v>
      </c>
      <c r="CM18">
        <v>-13.122</v>
      </c>
      <c r="CN18">
        <v>0.19600000000000001</v>
      </c>
      <c r="CO18">
        <f t="shared" si="9"/>
        <v>19.600000000000001</v>
      </c>
      <c r="CP18" s="1">
        <f t="shared" si="38"/>
        <v>2.8000000000000007</v>
      </c>
      <c r="CQ18" s="1">
        <f t="shared" si="39"/>
        <v>7.8400000000000043</v>
      </c>
      <c r="CR18" s="1">
        <f t="shared" si="40"/>
        <v>0.16666666666666674</v>
      </c>
    </row>
    <row r="19" spans="1:96" x14ac:dyDescent="0.3">
      <c r="A19">
        <v>19.982410000000002</v>
      </c>
      <c r="B19">
        <v>-11.09347</v>
      </c>
      <c r="C19">
        <v>17</v>
      </c>
      <c r="D19">
        <v>0.13200000000000001</v>
      </c>
      <c r="E19">
        <f t="shared" si="10"/>
        <v>13.200000000000001</v>
      </c>
      <c r="G19">
        <v>17</v>
      </c>
      <c r="H19">
        <v>19.986999999999998</v>
      </c>
      <c r="I19">
        <v>-10.99</v>
      </c>
      <c r="J19">
        <v>0.14399999999999999</v>
      </c>
      <c r="K19">
        <f t="shared" si="0"/>
        <v>14.399999999999999</v>
      </c>
      <c r="L19" s="1">
        <f t="shared" si="11"/>
        <v>1.1999999999999975</v>
      </c>
      <c r="M19" s="1">
        <f t="shared" si="12"/>
        <v>1.439999999999994</v>
      </c>
      <c r="N19" s="1">
        <f t="shared" si="13"/>
        <v>9.0909090909090606E-2</v>
      </c>
      <c r="Q19">
        <v>17</v>
      </c>
      <c r="R19">
        <v>19.9907</v>
      </c>
      <c r="S19">
        <v>-11.128410000000001</v>
      </c>
      <c r="T19">
        <v>0.13200000000000001</v>
      </c>
      <c r="U19">
        <f t="shared" si="1"/>
        <v>13.200000000000001</v>
      </c>
      <c r="V19" s="1">
        <f t="shared" si="14"/>
        <v>0</v>
      </c>
      <c r="W19" s="1">
        <f t="shared" si="15"/>
        <v>0</v>
      </c>
      <c r="X19" s="1">
        <f t="shared" si="16"/>
        <v>0</v>
      </c>
      <c r="Z19">
        <v>17</v>
      </c>
      <c r="AA19">
        <v>19.995000000000001</v>
      </c>
      <c r="AB19">
        <v>-10.933</v>
      </c>
      <c r="AC19">
        <v>0.16300000000000001</v>
      </c>
      <c r="AD19">
        <f t="shared" si="2"/>
        <v>16.3</v>
      </c>
      <c r="AE19" s="1">
        <f t="shared" si="17"/>
        <v>3.0999999999999996</v>
      </c>
      <c r="AF19" s="1">
        <f t="shared" si="18"/>
        <v>9.6099999999999977</v>
      </c>
      <c r="AG19" s="1">
        <f t="shared" si="19"/>
        <v>0.23484848484848486</v>
      </c>
      <c r="AI19">
        <v>17</v>
      </c>
      <c r="AJ19">
        <v>19.982240000000001</v>
      </c>
      <c r="AK19">
        <v>-11.034459999999999</v>
      </c>
      <c r="AL19">
        <v>0.13300000000000001</v>
      </c>
      <c r="AM19">
        <f t="shared" si="3"/>
        <v>13.3</v>
      </c>
      <c r="AN19" s="1">
        <f t="shared" si="20"/>
        <v>9.9999999999999645E-2</v>
      </c>
      <c r="AO19" s="1">
        <f t="shared" si="21"/>
        <v>9.9999999999999291E-3</v>
      </c>
      <c r="AP19" s="1">
        <f t="shared" si="22"/>
        <v>7.575757575757569E-3</v>
      </c>
      <c r="AR19">
        <v>17</v>
      </c>
      <c r="AS19">
        <v>19.997</v>
      </c>
      <c r="AT19">
        <v>-10.948</v>
      </c>
      <c r="AU19">
        <v>0.13700000000000001</v>
      </c>
      <c r="AV19">
        <f t="shared" si="4"/>
        <v>13.700000000000001</v>
      </c>
      <c r="AW19" s="1">
        <f t="shared" si="23"/>
        <v>0.5</v>
      </c>
      <c r="AX19" s="1">
        <f t="shared" si="24"/>
        <v>0.25</v>
      </c>
      <c r="AY19" s="1">
        <f t="shared" si="25"/>
        <v>3.7878787878787845E-2</v>
      </c>
      <c r="BA19">
        <v>17</v>
      </c>
      <c r="BB19">
        <v>20.03</v>
      </c>
      <c r="BC19">
        <v>-10.93</v>
      </c>
      <c r="BD19">
        <v>0.13800000000000001</v>
      </c>
      <c r="BE19">
        <f t="shared" si="5"/>
        <v>13.8</v>
      </c>
      <c r="BF19" s="1">
        <f t="shared" si="26"/>
        <v>0.59999999999999964</v>
      </c>
      <c r="BG19" s="1">
        <f t="shared" si="27"/>
        <v>0.3599999999999996</v>
      </c>
      <c r="BH19" s="1">
        <f t="shared" si="28"/>
        <v>4.5454545454545414E-2</v>
      </c>
      <c r="BJ19">
        <v>17</v>
      </c>
      <c r="BK19">
        <v>19.997</v>
      </c>
      <c r="BL19">
        <v>-10.948</v>
      </c>
      <c r="BM19">
        <v>0.127</v>
      </c>
      <c r="BN19">
        <f t="shared" si="6"/>
        <v>12.7</v>
      </c>
      <c r="BO19" s="1">
        <f t="shared" si="29"/>
        <v>-0.50000000000000178</v>
      </c>
      <c r="BP19" s="1">
        <f t="shared" si="30"/>
        <v>0.25000000000000178</v>
      </c>
      <c r="BQ19" s="1">
        <f t="shared" si="31"/>
        <v>-3.7878787878787956E-2</v>
      </c>
      <c r="BS19">
        <v>17</v>
      </c>
      <c r="BT19">
        <v>20.03</v>
      </c>
      <c r="BU19">
        <v>-10.93</v>
      </c>
      <c r="BV19">
        <v>0.13800000000000001</v>
      </c>
      <c r="BW19">
        <f t="shared" si="7"/>
        <v>13.8</v>
      </c>
      <c r="BX19" s="1">
        <f t="shared" si="32"/>
        <v>0.59999999999999964</v>
      </c>
      <c r="BY19" s="1">
        <f t="shared" si="33"/>
        <v>0.3599999999999996</v>
      </c>
      <c r="BZ19" s="1">
        <f t="shared" si="34"/>
        <v>4.5454545454545414E-2</v>
      </c>
      <c r="CB19">
        <v>17</v>
      </c>
      <c r="CC19">
        <v>20.02</v>
      </c>
      <c r="CD19">
        <v>-10.923</v>
      </c>
      <c r="CE19">
        <v>0.13500000000000001</v>
      </c>
      <c r="CF19">
        <f t="shared" si="8"/>
        <v>13.5</v>
      </c>
      <c r="CG19" s="1">
        <f t="shared" si="35"/>
        <v>0.29999999999999893</v>
      </c>
      <c r="CH19" s="1">
        <f t="shared" si="36"/>
        <v>8.9999999999999358E-2</v>
      </c>
      <c r="CI19" s="1">
        <f t="shared" si="37"/>
        <v>2.2727272727272707E-2</v>
      </c>
      <c r="CK19">
        <v>17</v>
      </c>
      <c r="CL19">
        <v>20.007999999999999</v>
      </c>
      <c r="CM19">
        <v>-10.922000000000001</v>
      </c>
      <c r="CN19">
        <v>0.151</v>
      </c>
      <c r="CO19">
        <f t="shared" si="9"/>
        <v>15.1</v>
      </c>
      <c r="CP19" s="1">
        <f t="shared" si="38"/>
        <v>1.8999999999999986</v>
      </c>
      <c r="CQ19" s="1">
        <f t="shared" si="39"/>
        <v>3.6099999999999945</v>
      </c>
      <c r="CR19" s="1">
        <f t="shared" si="40"/>
        <v>0.14393939393939381</v>
      </c>
    </row>
    <row r="20" spans="1:96" x14ac:dyDescent="0.3">
      <c r="A20">
        <v>18.832979999999999</v>
      </c>
      <c r="B20">
        <v>-9.9845799999999993</v>
      </c>
      <c r="C20">
        <v>18</v>
      </c>
      <c r="D20">
        <v>0.24600000000000002</v>
      </c>
      <c r="E20">
        <f t="shared" si="10"/>
        <v>24.6</v>
      </c>
      <c r="G20">
        <v>18</v>
      </c>
      <c r="H20">
        <v>18.864000000000001</v>
      </c>
      <c r="I20">
        <v>-9.8710000000000004</v>
      </c>
      <c r="J20">
        <v>0.27100000000000002</v>
      </c>
      <c r="K20">
        <f t="shared" si="0"/>
        <v>27.1</v>
      </c>
      <c r="L20" s="1">
        <f t="shared" si="11"/>
        <v>2.5</v>
      </c>
      <c r="M20" s="1">
        <f t="shared" si="12"/>
        <v>6.25</v>
      </c>
      <c r="N20" s="1">
        <f t="shared" si="13"/>
        <v>0.10162601626016254</v>
      </c>
      <c r="Q20">
        <v>18</v>
      </c>
      <c r="R20">
        <v>18.84665</v>
      </c>
      <c r="S20">
        <v>-10.02525</v>
      </c>
      <c r="T20">
        <v>0.26100000000000001</v>
      </c>
      <c r="U20">
        <f t="shared" si="1"/>
        <v>26.1</v>
      </c>
      <c r="V20" s="1">
        <f t="shared" si="14"/>
        <v>1.5</v>
      </c>
      <c r="W20" s="1">
        <f t="shared" si="15"/>
        <v>2.25</v>
      </c>
      <c r="X20" s="1">
        <f t="shared" si="16"/>
        <v>6.0975609756097615E-2</v>
      </c>
      <c r="Z20">
        <v>18</v>
      </c>
      <c r="AA20">
        <v>18.891999999999999</v>
      </c>
      <c r="AB20">
        <v>-9.827</v>
      </c>
      <c r="AC20">
        <v>0.26700000000000002</v>
      </c>
      <c r="AD20">
        <f t="shared" si="2"/>
        <v>26.700000000000003</v>
      </c>
      <c r="AE20" s="1">
        <f t="shared" si="17"/>
        <v>2.1000000000000014</v>
      </c>
      <c r="AF20" s="1">
        <f t="shared" si="18"/>
        <v>4.4100000000000064</v>
      </c>
      <c r="AG20" s="1">
        <f t="shared" si="19"/>
        <v>8.5365853658536661E-2</v>
      </c>
      <c r="AI20">
        <v>18</v>
      </c>
      <c r="AJ20">
        <v>18.858799999999999</v>
      </c>
      <c r="AK20">
        <v>-9.9270300000000002</v>
      </c>
      <c r="AL20">
        <v>0.26700000000000002</v>
      </c>
      <c r="AM20">
        <f t="shared" si="3"/>
        <v>26.700000000000003</v>
      </c>
      <c r="AN20" s="1">
        <f t="shared" si="20"/>
        <v>2.1000000000000014</v>
      </c>
      <c r="AO20" s="1">
        <f t="shared" si="21"/>
        <v>4.4100000000000064</v>
      </c>
      <c r="AP20" s="1">
        <f t="shared" si="22"/>
        <v>8.5365853658536661E-2</v>
      </c>
      <c r="AR20">
        <v>18</v>
      </c>
      <c r="AS20">
        <v>18.876000000000001</v>
      </c>
      <c r="AT20">
        <v>-9.83</v>
      </c>
      <c r="AU20">
        <v>0.26200000000000001</v>
      </c>
      <c r="AV20">
        <f t="shared" si="4"/>
        <v>26.200000000000003</v>
      </c>
      <c r="AW20" s="1">
        <f t="shared" si="23"/>
        <v>1.6000000000000014</v>
      </c>
      <c r="AX20" s="1">
        <f t="shared" si="24"/>
        <v>2.5600000000000045</v>
      </c>
      <c r="AY20" s="1">
        <f t="shared" si="25"/>
        <v>6.5040650406504197E-2</v>
      </c>
      <c r="BA20">
        <v>18</v>
      </c>
      <c r="BB20">
        <v>18.890999999999998</v>
      </c>
      <c r="BC20">
        <v>-9.8089999999999993</v>
      </c>
      <c r="BD20">
        <v>0.252</v>
      </c>
      <c r="BE20">
        <f t="shared" si="5"/>
        <v>25.2</v>
      </c>
      <c r="BF20" s="1">
        <f t="shared" si="26"/>
        <v>0.59999999999999787</v>
      </c>
      <c r="BG20" s="1">
        <f t="shared" si="27"/>
        <v>0.35999999999999743</v>
      </c>
      <c r="BH20" s="1">
        <f t="shared" si="28"/>
        <v>2.4390243902439046E-2</v>
      </c>
      <c r="BJ20">
        <v>18</v>
      </c>
      <c r="BK20">
        <v>18.876000000000001</v>
      </c>
      <c r="BL20">
        <v>-9.83</v>
      </c>
      <c r="BM20">
        <v>0.252</v>
      </c>
      <c r="BN20">
        <f t="shared" si="6"/>
        <v>25.2</v>
      </c>
      <c r="BO20" s="1">
        <f t="shared" si="29"/>
        <v>0.59999999999999787</v>
      </c>
      <c r="BP20" s="1">
        <f t="shared" si="30"/>
        <v>0.35999999999999743</v>
      </c>
      <c r="BQ20" s="1">
        <f t="shared" si="31"/>
        <v>2.4390243902439046E-2</v>
      </c>
      <c r="BS20">
        <v>19</v>
      </c>
      <c r="BT20">
        <v>18.890999999999998</v>
      </c>
      <c r="BU20">
        <v>-9.8089999999999993</v>
      </c>
      <c r="BV20">
        <v>0.252</v>
      </c>
      <c r="BW20">
        <f t="shared" si="7"/>
        <v>25.2</v>
      </c>
      <c r="BX20" s="1">
        <f t="shared" si="32"/>
        <v>0.59999999999999787</v>
      </c>
      <c r="BY20" s="1">
        <f t="shared" si="33"/>
        <v>0.35999999999999743</v>
      </c>
      <c r="BZ20" s="1">
        <f t="shared" si="34"/>
        <v>2.4390243902439046E-2</v>
      </c>
      <c r="CB20">
        <v>18</v>
      </c>
      <c r="CC20">
        <v>18.896000000000001</v>
      </c>
      <c r="CD20">
        <v>-9.8190000000000008</v>
      </c>
      <c r="CE20">
        <v>0.27600000000000002</v>
      </c>
      <c r="CF20">
        <f t="shared" si="8"/>
        <v>27.6</v>
      </c>
      <c r="CG20" s="1">
        <f t="shared" si="35"/>
        <v>3</v>
      </c>
      <c r="CH20" s="1">
        <f t="shared" si="36"/>
        <v>9</v>
      </c>
      <c r="CI20" s="1">
        <f t="shared" si="37"/>
        <v>0.12195121951219501</v>
      </c>
      <c r="CK20">
        <v>18</v>
      </c>
      <c r="CL20">
        <v>18.885000000000002</v>
      </c>
      <c r="CM20">
        <v>-9.702</v>
      </c>
      <c r="CN20">
        <v>0.26600000000000001</v>
      </c>
      <c r="CO20">
        <f t="shared" si="9"/>
        <v>26.6</v>
      </c>
      <c r="CP20" s="1">
        <f t="shared" si="38"/>
        <v>2</v>
      </c>
      <c r="CQ20" s="1">
        <f t="shared" si="39"/>
        <v>4</v>
      </c>
      <c r="CR20" s="1">
        <f t="shared" si="40"/>
        <v>8.1300813008130079E-2</v>
      </c>
    </row>
    <row r="21" spans="1:96" x14ac:dyDescent="0.3">
      <c r="A21">
        <v>14.77557</v>
      </c>
      <c r="B21">
        <v>-2.42808</v>
      </c>
      <c r="C21">
        <v>19</v>
      </c>
      <c r="D21">
        <v>0.192</v>
      </c>
      <c r="E21">
        <f t="shared" si="10"/>
        <v>19.2</v>
      </c>
      <c r="G21">
        <v>19</v>
      </c>
      <c r="H21">
        <v>14.874000000000001</v>
      </c>
      <c r="I21">
        <v>-2.2730000000000001</v>
      </c>
      <c r="J21">
        <v>0.217</v>
      </c>
      <c r="K21">
        <f t="shared" si="0"/>
        <v>21.7</v>
      </c>
      <c r="L21" s="1">
        <f t="shared" si="11"/>
        <v>2.5</v>
      </c>
      <c r="M21" s="1">
        <f t="shared" si="12"/>
        <v>6.25</v>
      </c>
      <c r="N21" s="1">
        <f t="shared" si="13"/>
        <v>0.13020833333333326</v>
      </c>
      <c r="Q21">
        <v>19</v>
      </c>
      <c r="R21">
        <v>14.78717</v>
      </c>
      <c r="S21">
        <v>-2.4472200000000002</v>
      </c>
      <c r="T21">
        <v>0.20799999999999999</v>
      </c>
      <c r="U21">
        <f t="shared" si="1"/>
        <v>20.8</v>
      </c>
      <c r="V21" s="1">
        <f t="shared" si="14"/>
        <v>1.6000000000000014</v>
      </c>
      <c r="W21" s="1">
        <f t="shared" si="15"/>
        <v>2.5600000000000045</v>
      </c>
      <c r="X21" s="1">
        <f t="shared" si="16"/>
        <v>8.3333333333333481E-2</v>
      </c>
      <c r="Z21">
        <v>19</v>
      </c>
      <c r="AA21">
        <v>14.867000000000001</v>
      </c>
      <c r="AB21">
        <v>-2.2370000000000001</v>
      </c>
      <c r="AC21">
        <v>0.20399999999999999</v>
      </c>
      <c r="AD21">
        <f t="shared" si="2"/>
        <v>20.399999999999999</v>
      </c>
      <c r="AE21" s="1">
        <f t="shared" si="17"/>
        <v>1.1999999999999993</v>
      </c>
      <c r="AF21" s="1">
        <f t="shared" si="18"/>
        <v>1.4399999999999984</v>
      </c>
      <c r="AG21" s="1">
        <f t="shared" si="19"/>
        <v>6.25E-2</v>
      </c>
      <c r="AI21">
        <v>19</v>
      </c>
      <c r="AJ21">
        <v>14.793469999999999</v>
      </c>
      <c r="AK21">
        <v>-2.3293300000000001</v>
      </c>
      <c r="AL21">
        <v>0.215</v>
      </c>
      <c r="AM21">
        <f t="shared" si="3"/>
        <v>21.5</v>
      </c>
      <c r="AN21" s="1">
        <f t="shared" si="20"/>
        <v>2.3000000000000007</v>
      </c>
      <c r="AO21" s="1">
        <f t="shared" si="21"/>
        <v>5.2900000000000036</v>
      </c>
      <c r="AP21" s="1">
        <f t="shared" si="22"/>
        <v>0.11979166666666674</v>
      </c>
      <c r="AR21">
        <v>19</v>
      </c>
      <c r="AS21">
        <v>14.859</v>
      </c>
      <c r="AT21">
        <v>-2.2589999999999999</v>
      </c>
      <c r="AU21">
        <v>0.20499999999999999</v>
      </c>
      <c r="AV21">
        <f t="shared" si="4"/>
        <v>20.5</v>
      </c>
      <c r="AW21" s="1">
        <f t="shared" si="23"/>
        <v>1.3000000000000007</v>
      </c>
      <c r="AX21" s="1">
        <f t="shared" si="24"/>
        <v>1.6900000000000019</v>
      </c>
      <c r="AY21" s="1">
        <f t="shared" si="25"/>
        <v>6.7708333333333481E-2</v>
      </c>
      <c r="BA21">
        <v>19</v>
      </c>
      <c r="BB21">
        <v>14.887</v>
      </c>
      <c r="BC21">
        <v>-2.2320000000000002</v>
      </c>
      <c r="BD21">
        <v>0.23</v>
      </c>
      <c r="BE21">
        <f t="shared" si="5"/>
        <v>23</v>
      </c>
      <c r="BF21" s="1">
        <f t="shared" si="26"/>
        <v>3.8000000000000007</v>
      </c>
      <c r="BG21" s="1">
        <f t="shared" si="27"/>
        <v>14.440000000000005</v>
      </c>
      <c r="BH21" s="1">
        <f t="shared" si="28"/>
        <v>0.19791666666666674</v>
      </c>
      <c r="BJ21">
        <v>19</v>
      </c>
      <c r="BK21">
        <v>14.859</v>
      </c>
      <c r="BL21">
        <v>-2.2589999999999999</v>
      </c>
      <c r="BM21">
        <v>0.19499999999999998</v>
      </c>
      <c r="BN21">
        <f t="shared" si="6"/>
        <v>19.499999999999996</v>
      </c>
      <c r="BO21" s="1">
        <f t="shared" si="29"/>
        <v>0.29999999999999716</v>
      </c>
      <c r="BP21" s="1">
        <f t="shared" si="30"/>
        <v>8.999999999999829E-2</v>
      </c>
      <c r="BQ21" s="1">
        <f t="shared" si="31"/>
        <v>1.5624999999999778E-2</v>
      </c>
      <c r="BS21">
        <v>20</v>
      </c>
      <c r="BT21">
        <v>14.887</v>
      </c>
      <c r="BU21">
        <v>-2.2320000000000002</v>
      </c>
      <c r="BV21">
        <v>0.23</v>
      </c>
      <c r="BW21">
        <f t="shared" si="7"/>
        <v>23</v>
      </c>
      <c r="BX21" s="1">
        <f t="shared" si="32"/>
        <v>3.8000000000000007</v>
      </c>
      <c r="BY21" s="1">
        <f t="shared" si="33"/>
        <v>14.440000000000005</v>
      </c>
      <c r="BZ21" s="1">
        <f t="shared" si="34"/>
        <v>0.19791666666666674</v>
      </c>
      <c r="CB21">
        <v>19</v>
      </c>
      <c r="CC21">
        <v>14.864000000000001</v>
      </c>
      <c r="CD21">
        <v>-2.2349999999999999</v>
      </c>
      <c r="CE21">
        <v>0.214</v>
      </c>
      <c r="CF21">
        <f t="shared" si="8"/>
        <v>21.4</v>
      </c>
      <c r="CG21" s="1">
        <f t="shared" si="35"/>
        <v>2.1999999999999993</v>
      </c>
      <c r="CH21" s="1">
        <f t="shared" si="36"/>
        <v>4.8399999999999972</v>
      </c>
      <c r="CI21" s="1">
        <f t="shared" si="37"/>
        <v>0.11458333333333326</v>
      </c>
      <c r="CK21">
        <v>19</v>
      </c>
      <c r="CL21">
        <v>14.882</v>
      </c>
      <c r="CM21">
        <v>-2.2400000000000002</v>
      </c>
      <c r="CN21">
        <v>0.21199999999999999</v>
      </c>
      <c r="CO21">
        <f t="shared" si="9"/>
        <v>21.2</v>
      </c>
      <c r="CP21" s="1">
        <f t="shared" si="38"/>
        <v>2</v>
      </c>
      <c r="CQ21" s="1">
        <f t="shared" si="39"/>
        <v>4</v>
      </c>
      <c r="CR21" s="1">
        <f t="shared" si="40"/>
        <v>0.10416666666666674</v>
      </c>
    </row>
    <row r="22" spans="1:96" x14ac:dyDescent="0.3">
      <c r="A22">
        <v>22.05686</v>
      </c>
      <c r="B22">
        <v>-5.6421599999999996</v>
      </c>
      <c r="C22">
        <v>20</v>
      </c>
      <c r="D22">
        <v>0.82399999999999995</v>
      </c>
      <c r="E22">
        <f t="shared" si="10"/>
        <v>82.399999999999991</v>
      </c>
      <c r="G22">
        <v>20</v>
      </c>
      <c r="H22">
        <v>22.117999999999999</v>
      </c>
      <c r="I22">
        <v>-5.5419999999999998</v>
      </c>
      <c r="J22">
        <v>0.82399999999999995</v>
      </c>
      <c r="K22">
        <f t="shared" si="0"/>
        <v>82.399999999999991</v>
      </c>
      <c r="L22" s="1">
        <f t="shared" si="11"/>
        <v>0</v>
      </c>
      <c r="M22" s="1">
        <f t="shared" si="12"/>
        <v>0</v>
      </c>
      <c r="N22" s="1">
        <f t="shared" si="13"/>
        <v>0</v>
      </c>
      <c r="Q22">
        <v>20</v>
      </c>
      <c r="R22">
        <v>22.061119999999999</v>
      </c>
      <c r="S22">
        <v>-5.6898600000000004</v>
      </c>
      <c r="T22">
        <v>0.82199999999999995</v>
      </c>
      <c r="U22">
        <f t="shared" si="1"/>
        <v>82.199999999999989</v>
      </c>
      <c r="V22" s="1">
        <f t="shared" si="14"/>
        <v>-0.20000000000000284</v>
      </c>
      <c r="W22" s="1">
        <f t="shared" si="15"/>
        <v>4.0000000000001139E-2</v>
      </c>
      <c r="X22" s="1">
        <f t="shared" si="16"/>
        <v>-2.4271844660194164E-3</v>
      </c>
      <c r="Z22">
        <v>20</v>
      </c>
      <c r="AA22">
        <v>22.117000000000001</v>
      </c>
      <c r="AB22">
        <v>-5.4889999999999999</v>
      </c>
      <c r="AC22">
        <v>0.80600000000000005</v>
      </c>
      <c r="AD22">
        <f t="shared" ref="AD22:AD28" si="41">AC22*100</f>
        <v>80.600000000000009</v>
      </c>
      <c r="AE22" s="1">
        <f t="shared" si="17"/>
        <v>-1.7999999999999829</v>
      </c>
      <c r="AF22" s="1">
        <f t="shared" si="18"/>
        <v>3.2399999999999385</v>
      </c>
      <c r="AG22" s="1">
        <f t="shared" si="19"/>
        <v>-2.1844660194174526E-2</v>
      </c>
      <c r="AI22">
        <v>20</v>
      </c>
      <c r="AJ22">
        <v>22.072700000000001</v>
      </c>
      <c r="AK22">
        <v>-5.6109400000000003</v>
      </c>
      <c r="AL22">
        <v>0.81599999999999995</v>
      </c>
      <c r="AM22">
        <f t="shared" si="3"/>
        <v>81.599999999999994</v>
      </c>
      <c r="AN22" s="1">
        <f t="shared" si="20"/>
        <v>-0.79999999999999716</v>
      </c>
      <c r="AO22" s="1">
        <f t="shared" si="21"/>
        <v>0.63999999999999546</v>
      </c>
      <c r="AP22" s="1">
        <f t="shared" si="22"/>
        <v>-9.7087378640776656E-3</v>
      </c>
      <c r="AR22">
        <v>20</v>
      </c>
      <c r="AS22">
        <v>22.106000000000002</v>
      </c>
      <c r="AT22">
        <v>-5.5060000000000002</v>
      </c>
      <c r="AU22">
        <v>0.80300000000000005</v>
      </c>
      <c r="AV22">
        <f t="shared" si="4"/>
        <v>80.300000000000011</v>
      </c>
      <c r="AW22" s="1">
        <f t="shared" si="23"/>
        <v>-2.0999999999999801</v>
      </c>
      <c r="AX22" s="1">
        <f t="shared" si="24"/>
        <v>4.4099999999999167</v>
      </c>
      <c r="AY22" s="1">
        <f t="shared" si="25"/>
        <v>-2.5485436893203595E-2</v>
      </c>
      <c r="BA22">
        <v>20</v>
      </c>
      <c r="BB22">
        <v>22.14</v>
      </c>
      <c r="BC22">
        <v>-5.4749999999999996</v>
      </c>
      <c r="BD22">
        <v>0.82599999999999996</v>
      </c>
      <c r="BE22">
        <f t="shared" si="5"/>
        <v>82.6</v>
      </c>
      <c r="BF22" s="1">
        <f t="shared" si="26"/>
        <v>0.20000000000000284</v>
      </c>
      <c r="BG22" s="1">
        <f t="shared" si="27"/>
        <v>4.0000000000001139E-2</v>
      </c>
      <c r="BH22" s="1">
        <f t="shared" si="28"/>
        <v>2.4271844660195274E-3</v>
      </c>
      <c r="BJ22">
        <v>20</v>
      </c>
      <c r="BK22">
        <v>22.106000000000002</v>
      </c>
      <c r="BL22">
        <v>-5.5060000000000002</v>
      </c>
      <c r="BM22">
        <v>0.79300000000000004</v>
      </c>
      <c r="BN22">
        <f t="shared" si="6"/>
        <v>79.3</v>
      </c>
      <c r="BO22" s="1">
        <f t="shared" si="29"/>
        <v>-3.0999999999999943</v>
      </c>
      <c r="BP22" s="1">
        <f t="shared" si="30"/>
        <v>9.6099999999999639</v>
      </c>
      <c r="BQ22" s="1">
        <f t="shared" si="31"/>
        <v>-3.7621359223300899E-2</v>
      </c>
      <c r="BS22">
        <v>21</v>
      </c>
      <c r="BT22">
        <v>22.14</v>
      </c>
      <c r="BU22">
        <v>-5.4749999999999996</v>
      </c>
      <c r="BV22">
        <v>0.82599999999999996</v>
      </c>
      <c r="BW22">
        <f t="shared" si="7"/>
        <v>82.6</v>
      </c>
      <c r="BX22" s="1">
        <f t="shared" si="32"/>
        <v>0.20000000000000284</v>
      </c>
      <c r="BY22" s="1">
        <f t="shared" si="33"/>
        <v>4.0000000000001139E-2</v>
      </c>
      <c r="BZ22" s="1">
        <f t="shared" si="34"/>
        <v>2.4271844660195274E-3</v>
      </c>
      <c r="CB22">
        <v>20</v>
      </c>
      <c r="CC22">
        <v>0</v>
      </c>
      <c r="CD22">
        <v>0</v>
      </c>
      <c r="CE22">
        <v>0</v>
      </c>
      <c r="CF22">
        <f t="shared" si="8"/>
        <v>0</v>
      </c>
      <c r="CG22" s="1">
        <f t="shared" si="35"/>
        <v>-82.399999999999991</v>
      </c>
      <c r="CH22" s="1">
        <f t="shared" si="36"/>
        <v>6789.7599999999984</v>
      </c>
      <c r="CI22" s="1">
        <f t="shared" si="37"/>
        <v>-1</v>
      </c>
      <c r="CK22">
        <v>20</v>
      </c>
      <c r="CL22">
        <v>0</v>
      </c>
      <c r="CM22">
        <v>0</v>
      </c>
      <c r="CN22">
        <v>0</v>
      </c>
      <c r="CO22">
        <f t="shared" si="9"/>
        <v>0</v>
      </c>
      <c r="CP22" s="1">
        <f t="shared" si="38"/>
        <v>-82.399999999999991</v>
      </c>
      <c r="CQ22" s="1">
        <f t="shared" si="39"/>
        <v>6789.7599999999984</v>
      </c>
      <c r="CR22" s="1">
        <f t="shared" si="40"/>
        <v>-1</v>
      </c>
    </row>
    <row r="23" spans="1:96" x14ac:dyDescent="0.3">
      <c r="A23">
        <v>24.173410000000001</v>
      </c>
      <c r="B23">
        <v>-16.2377</v>
      </c>
      <c r="C23">
        <v>21</v>
      </c>
      <c r="D23">
        <v>0.69499999999999995</v>
      </c>
      <c r="E23">
        <f t="shared" si="10"/>
        <v>69.5</v>
      </c>
      <c r="G23">
        <v>21</v>
      </c>
      <c r="H23">
        <v>24.135999999999999</v>
      </c>
      <c r="I23">
        <v>-16.135999999999999</v>
      </c>
      <c r="J23">
        <v>0.68100000000000005</v>
      </c>
      <c r="K23">
        <f t="shared" si="0"/>
        <v>68.100000000000009</v>
      </c>
      <c r="L23" s="1">
        <f t="shared" si="11"/>
        <v>-1.3999999999999915</v>
      </c>
      <c r="M23" s="1">
        <f t="shared" si="12"/>
        <v>1.9599999999999762</v>
      </c>
      <c r="N23" s="1">
        <f t="shared" si="13"/>
        <v>-2.0143884892086183E-2</v>
      </c>
      <c r="Q23">
        <v>21</v>
      </c>
      <c r="R23">
        <v>24.171970000000002</v>
      </c>
      <c r="S23">
        <v>-16.281490000000002</v>
      </c>
      <c r="T23">
        <v>0.69099999999999995</v>
      </c>
      <c r="U23">
        <f t="shared" si="1"/>
        <v>69.099999999999994</v>
      </c>
      <c r="V23" s="1">
        <f t="shared" si="14"/>
        <v>-0.40000000000000568</v>
      </c>
      <c r="W23" s="1">
        <f t="shared" si="15"/>
        <v>0.16000000000000456</v>
      </c>
      <c r="X23" s="1">
        <f t="shared" si="16"/>
        <v>-5.7553956834532904E-3</v>
      </c>
      <c r="Z23">
        <v>21</v>
      </c>
      <c r="AA23">
        <v>24.161999999999999</v>
      </c>
      <c r="AB23">
        <v>-16.068000000000001</v>
      </c>
      <c r="AC23">
        <v>0.66500000000000004</v>
      </c>
      <c r="AD23">
        <f t="shared" si="41"/>
        <v>66.5</v>
      </c>
      <c r="AE23" s="1">
        <f t="shared" si="17"/>
        <v>-3</v>
      </c>
      <c r="AF23" s="1">
        <f t="shared" si="18"/>
        <v>9</v>
      </c>
      <c r="AG23" s="1">
        <f t="shared" si="19"/>
        <v>-4.3165467625899234E-2</v>
      </c>
      <c r="AI23">
        <v>21</v>
      </c>
      <c r="AJ23">
        <v>24.170089999999998</v>
      </c>
      <c r="AK23">
        <v>-16.212610000000002</v>
      </c>
      <c r="AL23">
        <v>0.68300000000000005</v>
      </c>
      <c r="AM23">
        <f t="shared" si="3"/>
        <v>68.300000000000011</v>
      </c>
      <c r="AN23" s="1">
        <f t="shared" si="20"/>
        <v>-1.1999999999999886</v>
      </c>
      <c r="AO23" s="1">
        <f t="shared" si="21"/>
        <v>1.4399999999999726</v>
      </c>
      <c r="AP23" s="1">
        <f t="shared" si="22"/>
        <v>-1.7266187050359538E-2</v>
      </c>
      <c r="AR23">
        <v>21</v>
      </c>
      <c r="AS23">
        <v>24.181000000000001</v>
      </c>
      <c r="AT23">
        <v>-16.097000000000001</v>
      </c>
      <c r="AU23">
        <v>0.70399999999999996</v>
      </c>
      <c r="AV23">
        <f t="shared" si="4"/>
        <v>70.399999999999991</v>
      </c>
      <c r="AW23" s="1">
        <f t="shared" si="23"/>
        <v>0.89999999999999147</v>
      </c>
      <c r="AX23" s="1">
        <f t="shared" si="24"/>
        <v>0.80999999999998462</v>
      </c>
      <c r="AY23" s="1">
        <f t="shared" si="25"/>
        <v>1.294964028776957E-2</v>
      </c>
      <c r="BA23">
        <v>21</v>
      </c>
      <c r="BB23">
        <v>24.195</v>
      </c>
      <c r="BC23">
        <v>-16.065999999999999</v>
      </c>
      <c r="BD23">
        <v>0.70299999999999996</v>
      </c>
      <c r="BE23">
        <f t="shared" si="5"/>
        <v>70.3</v>
      </c>
      <c r="BF23" s="1">
        <f t="shared" si="26"/>
        <v>0.79999999999999716</v>
      </c>
      <c r="BG23" s="1">
        <f t="shared" si="27"/>
        <v>0.63999999999999546</v>
      </c>
      <c r="BH23" s="1">
        <f t="shared" si="28"/>
        <v>1.1510791366906359E-2</v>
      </c>
      <c r="BJ23">
        <v>21</v>
      </c>
      <c r="BK23">
        <v>0</v>
      </c>
      <c r="BL23">
        <v>0</v>
      </c>
      <c r="BM23">
        <v>0</v>
      </c>
      <c r="BN23">
        <f t="shared" si="6"/>
        <v>0</v>
      </c>
      <c r="BO23" s="1">
        <f t="shared" si="29"/>
        <v>-69.5</v>
      </c>
      <c r="BP23" s="1">
        <f t="shared" si="30"/>
        <v>4830.25</v>
      </c>
      <c r="BQ23" s="1">
        <f t="shared" si="31"/>
        <v>-1</v>
      </c>
      <c r="BS23">
        <v>21</v>
      </c>
      <c r="BT23">
        <v>0</v>
      </c>
      <c r="BU23">
        <v>0</v>
      </c>
      <c r="BV23">
        <v>0</v>
      </c>
      <c r="BW23">
        <f t="shared" si="7"/>
        <v>0</v>
      </c>
      <c r="BX23" s="1">
        <f t="shared" si="32"/>
        <v>-69.5</v>
      </c>
      <c r="BY23" s="1">
        <f t="shared" si="33"/>
        <v>4830.25</v>
      </c>
      <c r="BZ23" s="1">
        <f t="shared" si="34"/>
        <v>-1</v>
      </c>
      <c r="CB23">
        <v>21</v>
      </c>
      <c r="CC23">
        <v>24.202000000000002</v>
      </c>
      <c r="CD23">
        <v>-16.074999999999999</v>
      </c>
      <c r="CE23">
        <v>0.71899999999999997</v>
      </c>
      <c r="CF23">
        <f t="shared" si="8"/>
        <v>71.899999999999991</v>
      </c>
      <c r="CG23" s="1">
        <f t="shared" si="35"/>
        <v>2.3999999999999915</v>
      </c>
      <c r="CH23" s="1">
        <f t="shared" si="36"/>
        <v>5.7599999999999589</v>
      </c>
      <c r="CI23" s="1">
        <f t="shared" si="37"/>
        <v>3.4532374100719299E-2</v>
      </c>
      <c r="CK23">
        <v>21</v>
      </c>
      <c r="CL23">
        <v>24.195</v>
      </c>
      <c r="CM23">
        <v>-16.07</v>
      </c>
      <c r="CN23">
        <v>0.70799999999999996</v>
      </c>
      <c r="CO23">
        <f t="shared" si="9"/>
        <v>70.8</v>
      </c>
      <c r="CP23" s="1">
        <f t="shared" si="38"/>
        <v>1.2999999999999972</v>
      </c>
      <c r="CQ23" s="1">
        <f t="shared" si="39"/>
        <v>1.6899999999999926</v>
      </c>
      <c r="CR23" s="1">
        <f t="shared" si="40"/>
        <v>1.8705035971223083E-2</v>
      </c>
    </row>
    <row r="24" spans="1:96" x14ac:dyDescent="0.3">
      <c r="A24">
        <v>0.53042999999999996</v>
      </c>
      <c r="B24">
        <v>1.90256</v>
      </c>
      <c r="C24">
        <v>22</v>
      </c>
      <c r="D24">
        <v>0.161</v>
      </c>
      <c r="E24">
        <f t="shared" si="10"/>
        <v>16.100000000000001</v>
      </c>
      <c r="G24">
        <v>22</v>
      </c>
      <c r="H24">
        <v>0.63100000000000001</v>
      </c>
      <c r="I24">
        <v>2.1509999999999998</v>
      </c>
      <c r="J24">
        <v>0.187</v>
      </c>
      <c r="K24">
        <f t="shared" si="0"/>
        <v>18.7</v>
      </c>
      <c r="L24" s="1">
        <f t="shared" si="11"/>
        <v>2.5999999999999979</v>
      </c>
      <c r="M24" s="1">
        <f t="shared" si="12"/>
        <v>6.7599999999999891</v>
      </c>
      <c r="N24" s="1">
        <f t="shared" si="13"/>
        <v>0.16149068322981353</v>
      </c>
      <c r="Q24">
        <v>22</v>
      </c>
      <c r="R24">
        <v>0.53605999999999998</v>
      </c>
      <c r="S24">
        <v>1.9511099999999999</v>
      </c>
      <c r="T24">
        <v>0.21299999999999999</v>
      </c>
      <c r="U24">
        <f t="shared" si="1"/>
        <v>21.3</v>
      </c>
      <c r="V24" s="1">
        <f t="shared" si="14"/>
        <v>5.1999999999999993</v>
      </c>
      <c r="W24" s="1">
        <f t="shared" si="15"/>
        <v>27.039999999999992</v>
      </c>
      <c r="X24" s="1">
        <f t="shared" si="16"/>
        <v>0.32298136645962727</v>
      </c>
      <c r="Z24">
        <v>22</v>
      </c>
      <c r="AA24">
        <v>0.64</v>
      </c>
      <c r="AB24">
        <v>2.1549999999999998</v>
      </c>
      <c r="AC24">
        <v>0.19800000000000001</v>
      </c>
      <c r="AD24">
        <f t="shared" si="41"/>
        <v>19.8</v>
      </c>
      <c r="AE24" s="1">
        <f t="shared" si="17"/>
        <v>3.6999999999999993</v>
      </c>
      <c r="AF24" s="1">
        <f t="shared" si="18"/>
        <v>13.689999999999994</v>
      </c>
      <c r="AG24" s="1">
        <f t="shared" si="19"/>
        <v>0.22981366459627317</v>
      </c>
      <c r="AI24">
        <v>22</v>
      </c>
      <c r="AJ24">
        <v>0.53435999999999995</v>
      </c>
      <c r="AK24">
        <v>2.1458499999999998</v>
      </c>
      <c r="AL24">
        <v>0.216</v>
      </c>
      <c r="AM24">
        <f t="shared" si="3"/>
        <v>21.6</v>
      </c>
      <c r="AN24" s="1">
        <f t="shared" si="20"/>
        <v>5.5</v>
      </c>
      <c r="AO24" s="1">
        <f t="shared" si="21"/>
        <v>30.25</v>
      </c>
      <c r="AP24" s="1">
        <f t="shared" si="22"/>
        <v>0.341614906832298</v>
      </c>
      <c r="AR24">
        <v>22</v>
      </c>
      <c r="AS24">
        <v>0.63200000000000001</v>
      </c>
      <c r="AT24">
        <v>2.1419999999999999</v>
      </c>
      <c r="AU24">
        <v>0.193</v>
      </c>
      <c r="AV24">
        <f t="shared" si="4"/>
        <v>19.3</v>
      </c>
      <c r="AW24" s="1">
        <f t="shared" si="23"/>
        <v>3.1999999999999993</v>
      </c>
      <c r="AX24" s="1">
        <f t="shared" si="24"/>
        <v>10.239999999999995</v>
      </c>
      <c r="AY24" s="1">
        <f t="shared" si="25"/>
        <v>0.19875776397515521</v>
      </c>
      <c r="BA24">
        <v>22</v>
      </c>
      <c r="BB24">
        <v>0.64100000000000001</v>
      </c>
      <c r="BC24">
        <v>2.1360000000000001</v>
      </c>
      <c r="BD24">
        <v>0.193</v>
      </c>
      <c r="BE24">
        <f t="shared" si="5"/>
        <v>19.3</v>
      </c>
      <c r="BF24" s="1">
        <f t="shared" si="26"/>
        <v>3.1999999999999993</v>
      </c>
      <c r="BG24" s="1">
        <f t="shared" si="27"/>
        <v>10.239999999999995</v>
      </c>
      <c r="BH24" s="1">
        <f t="shared" si="28"/>
        <v>0.19875776397515521</v>
      </c>
      <c r="BJ24">
        <v>22</v>
      </c>
      <c r="BK24">
        <v>0.63200000000000001</v>
      </c>
      <c r="BL24">
        <v>2.1419999999999999</v>
      </c>
      <c r="BM24">
        <v>0.183</v>
      </c>
      <c r="BN24">
        <f t="shared" si="6"/>
        <v>18.3</v>
      </c>
      <c r="BO24" s="1">
        <f t="shared" si="29"/>
        <v>2.1999999999999993</v>
      </c>
      <c r="BP24" s="1">
        <f t="shared" si="30"/>
        <v>4.8399999999999972</v>
      </c>
      <c r="BQ24" s="1">
        <f t="shared" si="31"/>
        <v>0.13664596273291929</v>
      </c>
      <c r="BS24">
        <v>22</v>
      </c>
      <c r="BT24">
        <v>0.64100000000000001</v>
      </c>
      <c r="BU24">
        <v>2.1360000000000001</v>
      </c>
      <c r="BV24">
        <v>0.193</v>
      </c>
      <c r="BW24">
        <f t="shared" si="7"/>
        <v>19.3</v>
      </c>
      <c r="BX24" s="1">
        <f t="shared" si="32"/>
        <v>3.1999999999999993</v>
      </c>
      <c r="BY24" s="1">
        <f t="shared" si="33"/>
        <v>10.239999999999995</v>
      </c>
      <c r="BZ24" s="1">
        <f t="shared" si="34"/>
        <v>0.19875776397515521</v>
      </c>
      <c r="CB24">
        <v>22</v>
      </c>
      <c r="CC24">
        <v>0.63100000000000001</v>
      </c>
      <c r="CD24">
        <v>2.1469999999999998</v>
      </c>
      <c r="CE24">
        <v>0.21199999999999999</v>
      </c>
      <c r="CF24">
        <f t="shared" si="8"/>
        <v>21.2</v>
      </c>
      <c r="CG24" s="1">
        <f t="shared" si="35"/>
        <v>5.0999999999999979</v>
      </c>
      <c r="CH24" s="1">
        <f t="shared" si="36"/>
        <v>26.009999999999977</v>
      </c>
      <c r="CI24" s="1">
        <f t="shared" si="37"/>
        <v>0.31677018633540355</v>
      </c>
      <c r="CK24">
        <v>22</v>
      </c>
      <c r="CL24">
        <v>0.64800000000000002</v>
      </c>
      <c r="CM24">
        <v>2.1549999999999998</v>
      </c>
      <c r="CN24">
        <v>0.22700000000000001</v>
      </c>
      <c r="CO24">
        <f t="shared" si="9"/>
        <v>22.7</v>
      </c>
      <c r="CP24" s="1">
        <f t="shared" si="38"/>
        <v>6.5999999999999979</v>
      </c>
      <c r="CQ24" s="1">
        <f t="shared" si="39"/>
        <v>43.559999999999974</v>
      </c>
      <c r="CR24" s="1">
        <f t="shared" si="40"/>
        <v>0.40993788819875765</v>
      </c>
    </row>
    <row r="25" spans="1:96" x14ac:dyDescent="0.3">
      <c r="A25">
        <v>10.76383</v>
      </c>
      <c r="B25">
        <v>4.8047300000000002</v>
      </c>
      <c r="C25">
        <v>23</v>
      </c>
      <c r="D25">
        <v>0.191</v>
      </c>
      <c r="E25">
        <f t="shared" si="10"/>
        <v>19.100000000000001</v>
      </c>
      <c r="G25">
        <v>23</v>
      </c>
      <c r="H25">
        <v>10.919</v>
      </c>
      <c r="I25">
        <v>4.9770000000000003</v>
      </c>
      <c r="J25">
        <v>0.182</v>
      </c>
      <c r="K25">
        <f t="shared" si="0"/>
        <v>18.2</v>
      </c>
      <c r="L25" s="1">
        <f t="shared" si="11"/>
        <v>-0.90000000000000213</v>
      </c>
      <c r="M25" s="1">
        <f t="shared" si="12"/>
        <v>0.81000000000000383</v>
      </c>
      <c r="N25" s="1">
        <f t="shared" si="13"/>
        <v>-4.7120418848167644E-2</v>
      </c>
      <c r="Q25">
        <v>23</v>
      </c>
      <c r="R25">
        <v>10.7799</v>
      </c>
      <c r="S25">
        <v>4.7876000000000003</v>
      </c>
      <c r="T25">
        <v>0.19500000000000001</v>
      </c>
      <c r="U25">
        <f t="shared" si="1"/>
        <v>19.5</v>
      </c>
      <c r="V25" s="1">
        <f t="shared" si="14"/>
        <v>0.39999999999999858</v>
      </c>
      <c r="W25" s="1">
        <f t="shared" si="15"/>
        <v>0.15999999999999887</v>
      </c>
      <c r="X25" s="1">
        <f t="shared" si="16"/>
        <v>2.0942408376963373E-2</v>
      </c>
      <c r="Z25">
        <v>23</v>
      </c>
      <c r="AA25">
        <v>10.907999999999999</v>
      </c>
      <c r="AB25">
        <v>4.9989999999999997</v>
      </c>
      <c r="AC25">
        <v>0.215</v>
      </c>
      <c r="AD25">
        <f t="shared" si="41"/>
        <v>21.5</v>
      </c>
      <c r="AE25" s="1">
        <f t="shared" si="17"/>
        <v>2.3999999999999986</v>
      </c>
      <c r="AF25" s="1">
        <f t="shared" si="18"/>
        <v>5.7599999999999936</v>
      </c>
      <c r="AG25" s="1">
        <f t="shared" si="19"/>
        <v>0.12565445026178002</v>
      </c>
      <c r="AI25">
        <v>23</v>
      </c>
      <c r="AJ25">
        <v>10.792590000000001</v>
      </c>
      <c r="AK25">
        <v>4.9296800000000003</v>
      </c>
      <c r="AL25">
        <v>0.20399999999999999</v>
      </c>
      <c r="AM25">
        <f t="shared" si="3"/>
        <v>20.399999999999999</v>
      </c>
      <c r="AN25" s="1">
        <f t="shared" si="20"/>
        <v>1.2999999999999972</v>
      </c>
      <c r="AO25" s="1">
        <f t="shared" si="21"/>
        <v>1.6899999999999926</v>
      </c>
      <c r="AP25" s="1">
        <f t="shared" si="22"/>
        <v>6.8062827225130684E-2</v>
      </c>
      <c r="AR25">
        <v>23</v>
      </c>
      <c r="AS25">
        <v>10.901</v>
      </c>
      <c r="AT25">
        <v>4.9870000000000001</v>
      </c>
      <c r="AU25">
        <v>0.20499999999999999</v>
      </c>
      <c r="AV25">
        <f t="shared" si="4"/>
        <v>20.5</v>
      </c>
      <c r="AW25" s="1">
        <f t="shared" si="23"/>
        <v>1.3999999999999986</v>
      </c>
      <c r="AX25" s="1">
        <f t="shared" si="24"/>
        <v>1.959999999999996</v>
      </c>
      <c r="AY25" s="1">
        <f t="shared" si="25"/>
        <v>7.3298429319371694E-2</v>
      </c>
      <c r="BA25">
        <v>23</v>
      </c>
      <c r="BB25">
        <v>10.914</v>
      </c>
      <c r="BC25">
        <v>5.0039999999999996</v>
      </c>
      <c r="BD25">
        <v>0.22900000000000001</v>
      </c>
      <c r="BE25">
        <f t="shared" si="5"/>
        <v>22.900000000000002</v>
      </c>
      <c r="BF25" s="1">
        <f t="shared" si="26"/>
        <v>3.8000000000000007</v>
      </c>
      <c r="BG25" s="1">
        <f t="shared" si="27"/>
        <v>14.440000000000005</v>
      </c>
      <c r="BH25" s="1">
        <f t="shared" si="28"/>
        <v>0.19895287958115193</v>
      </c>
      <c r="BJ25">
        <v>23</v>
      </c>
      <c r="BK25">
        <v>10.901</v>
      </c>
      <c r="BL25">
        <v>4.9870000000000001</v>
      </c>
      <c r="BM25">
        <v>0.19499999999999998</v>
      </c>
      <c r="BN25">
        <f t="shared" si="6"/>
        <v>19.499999999999996</v>
      </c>
      <c r="BO25" s="1">
        <f t="shared" si="29"/>
        <v>0.39999999999999503</v>
      </c>
      <c r="BP25" s="1">
        <f t="shared" si="30"/>
        <v>0.15999999999999603</v>
      </c>
      <c r="BQ25" s="1">
        <f t="shared" si="31"/>
        <v>2.0942408376963151E-2</v>
      </c>
      <c r="BS25">
        <v>23</v>
      </c>
      <c r="BT25">
        <v>10.914</v>
      </c>
      <c r="BU25">
        <v>5.0039999999999996</v>
      </c>
      <c r="BV25">
        <v>0.22900000000000001</v>
      </c>
      <c r="BW25">
        <f t="shared" si="7"/>
        <v>22.900000000000002</v>
      </c>
      <c r="BX25" s="1">
        <f t="shared" si="32"/>
        <v>3.8000000000000007</v>
      </c>
      <c r="BY25" s="1">
        <f t="shared" si="33"/>
        <v>14.440000000000005</v>
      </c>
      <c r="BZ25" s="1">
        <f t="shared" si="34"/>
        <v>0.19895287958115193</v>
      </c>
      <c r="CB25">
        <v>23</v>
      </c>
      <c r="CC25">
        <v>10.907</v>
      </c>
      <c r="CD25">
        <v>4.9939999999999998</v>
      </c>
      <c r="CE25">
        <v>0.20799999999999999</v>
      </c>
      <c r="CF25">
        <f t="shared" si="8"/>
        <v>20.8</v>
      </c>
      <c r="CG25" s="1">
        <f t="shared" si="35"/>
        <v>1.6999999999999993</v>
      </c>
      <c r="CH25" s="1">
        <f t="shared" si="36"/>
        <v>2.8899999999999975</v>
      </c>
      <c r="CI25" s="1">
        <f t="shared" si="37"/>
        <v>8.9005235602094279E-2</v>
      </c>
      <c r="CK25">
        <v>23</v>
      </c>
      <c r="CL25">
        <v>10.904</v>
      </c>
      <c r="CM25">
        <v>5</v>
      </c>
      <c r="CN25">
        <v>0.19500000000000001</v>
      </c>
      <c r="CO25">
        <f t="shared" si="9"/>
        <v>19.5</v>
      </c>
      <c r="CP25" s="1">
        <f t="shared" si="38"/>
        <v>0.39999999999999858</v>
      </c>
      <c r="CQ25" s="1">
        <f t="shared" si="39"/>
        <v>0.15999999999999887</v>
      </c>
      <c r="CR25" s="1">
        <f t="shared" si="40"/>
        <v>2.0942408376963373E-2</v>
      </c>
    </row>
    <row r="26" spans="1:96" x14ac:dyDescent="0.3">
      <c r="A26">
        <v>8.8304799999999997</v>
      </c>
      <c r="B26">
        <v>8.60337</v>
      </c>
      <c r="C26">
        <v>24</v>
      </c>
      <c r="D26">
        <v>0.22800000000000001</v>
      </c>
      <c r="E26">
        <f t="shared" si="10"/>
        <v>22.8</v>
      </c>
      <c r="G26">
        <v>24</v>
      </c>
      <c r="H26">
        <v>9.01</v>
      </c>
      <c r="I26">
        <v>8.7669999999999995</v>
      </c>
      <c r="J26">
        <v>0.21299999999999999</v>
      </c>
      <c r="K26">
        <f t="shared" si="0"/>
        <v>21.3</v>
      </c>
      <c r="L26" s="1">
        <f t="shared" si="11"/>
        <v>-1.5</v>
      </c>
      <c r="M26" s="1">
        <f t="shared" si="12"/>
        <v>2.25</v>
      </c>
      <c r="N26" s="1">
        <f t="shared" si="13"/>
        <v>-6.5789473684210509E-2</v>
      </c>
      <c r="Q26">
        <v>24</v>
      </c>
      <c r="R26">
        <v>8.8333200000000005</v>
      </c>
      <c r="S26">
        <v>8.5686599999999995</v>
      </c>
      <c r="T26">
        <v>0.20100000000000001</v>
      </c>
      <c r="U26">
        <f t="shared" si="1"/>
        <v>20.100000000000001</v>
      </c>
      <c r="V26" s="1">
        <f t="shared" si="14"/>
        <v>-2.6999999999999993</v>
      </c>
      <c r="W26" s="1">
        <f t="shared" si="15"/>
        <v>7.2899999999999965</v>
      </c>
      <c r="X26" s="1">
        <f t="shared" si="16"/>
        <v>-0.11842105263157887</v>
      </c>
      <c r="Z26">
        <v>24</v>
      </c>
      <c r="AA26">
        <v>8.98</v>
      </c>
      <c r="AB26">
        <v>8.782</v>
      </c>
      <c r="AC26">
        <v>0.19500000000000001</v>
      </c>
      <c r="AD26">
        <f t="shared" si="41"/>
        <v>19.5</v>
      </c>
      <c r="AE26" s="1">
        <f t="shared" si="17"/>
        <v>-3.3000000000000007</v>
      </c>
      <c r="AF26" s="1">
        <f t="shared" si="18"/>
        <v>10.890000000000004</v>
      </c>
      <c r="AG26" s="1">
        <f t="shared" si="19"/>
        <v>-0.14473684210526316</v>
      </c>
      <c r="AI26">
        <v>24</v>
      </c>
      <c r="AJ26">
        <v>8.82559</v>
      </c>
      <c r="AK26">
        <v>8.7233000000000001</v>
      </c>
      <c r="AL26">
        <v>0.193</v>
      </c>
      <c r="AM26">
        <f t="shared" si="3"/>
        <v>19.3</v>
      </c>
      <c r="AN26" s="1">
        <f t="shared" si="20"/>
        <v>-3.5</v>
      </c>
      <c r="AO26" s="1">
        <f t="shared" si="21"/>
        <v>12.25</v>
      </c>
      <c r="AP26" s="1">
        <f t="shared" si="22"/>
        <v>-0.15350877192982459</v>
      </c>
      <c r="AR26">
        <v>24</v>
      </c>
      <c r="AS26">
        <v>8.9789999999999992</v>
      </c>
      <c r="AT26">
        <v>8.7840000000000007</v>
      </c>
      <c r="AU26">
        <v>0.216</v>
      </c>
      <c r="AV26">
        <f t="shared" si="4"/>
        <v>21.6</v>
      </c>
      <c r="AW26" s="1">
        <f t="shared" si="23"/>
        <v>-1.1999999999999993</v>
      </c>
      <c r="AX26" s="1">
        <f t="shared" si="24"/>
        <v>1.4399999999999984</v>
      </c>
      <c r="AY26" s="1">
        <f t="shared" si="25"/>
        <v>-5.2631578947368363E-2</v>
      </c>
      <c r="BA26">
        <v>24</v>
      </c>
      <c r="BB26">
        <v>8.9809999999999999</v>
      </c>
      <c r="BC26">
        <v>8.7970000000000006</v>
      </c>
      <c r="BD26">
        <v>0.23</v>
      </c>
      <c r="BE26">
        <f t="shared" si="5"/>
        <v>23</v>
      </c>
      <c r="BF26" s="1">
        <f t="shared" si="26"/>
        <v>0.19999999999999929</v>
      </c>
      <c r="BG26" s="1">
        <f t="shared" si="27"/>
        <v>3.9999999999999716E-2</v>
      </c>
      <c r="BH26" s="1">
        <f t="shared" si="28"/>
        <v>8.7719298245614308E-3</v>
      </c>
      <c r="BJ26">
        <v>24</v>
      </c>
      <c r="BK26">
        <v>8.9789999999999992</v>
      </c>
      <c r="BL26">
        <v>8.7840000000000007</v>
      </c>
      <c r="BM26">
        <v>0.20599999999999999</v>
      </c>
      <c r="BN26">
        <f t="shared" si="6"/>
        <v>20.599999999999998</v>
      </c>
      <c r="BO26" s="1">
        <f t="shared" si="29"/>
        <v>-2.2000000000000028</v>
      </c>
      <c r="BP26" s="1">
        <f t="shared" si="30"/>
        <v>4.8400000000000123</v>
      </c>
      <c r="BQ26" s="1">
        <f t="shared" si="31"/>
        <v>-9.6491228070175517E-2</v>
      </c>
      <c r="BS26">
        <v>24</v>
      </c>
      <c r="BT26">
        <v>0</v>
      </c>
      <c r="BU26">
        <v>0</v>
      </c>
      <c r="BV26">
        <v>0</v>
      </c>
      <c r="BW26">
        <f t="shared" si="7"/>
        <v>0</v>
      </c>
      <c r="BX26" s="1">
        <f t="shared" si="32"/>
        <v>-22.8</v>
      </c>
      <c r="BY26" s="1">
        <f t="shared" si="33"/>
        <v>519.84</v>
      </c>
      <c r="BZ26" s="1">
        <f t="shared" si="34"/>
        <v>-1</v>
      </c>
      <c r="CB26">
        <v>24</v>
      </c>
      <c r="CC26">
        <v>8.9740000000000002</v>
      </c>
      <c r="CD26">
        <v>8.7959999999999994</v>
      </c>
      <c r="CE26">
        <v>0.219</v>
      </c>
      <c r="CF26">
        <f t="shared" si="8"/>
        <v>21.9</v>
      </c>
      <c r="CG26" s="1">
        <f t="shared" si="35"/>
        <v>-0.90000000000000213</v>
      </c>
      <c r="CH26" s="1">
        <f t="shared" si="36"/>
        <v>0.81000000000000383</v>
      </c>
      <c r="CI26" s="1">
        <f t="shared" si="37"/>
        <v>-3.9473684210526438E-2</v>
      </c>
      <c r="CK26">
        <v>24</v>
      </c>
      <c r="CL26">
        <v>8.9789999999999992</v>
      </c>
      <c r="CM26">
        <v>8.7919999999999998</v>
      </c>
      <c r="CN26">
        <v>0.22</v>
      </c>
      <c r="CO26">
        <f t="shared" si="9"/>
        <v>22</v>
      </c>
      <c r="CP26" s="1">
        <f t="shared" si="38"/>
        <v>-0.80000000000000071</v>
      </c>
      <c r="CQ26" s="1">
        <f t="shared" si="39"/>
        <v>0.64000000000000112</v>
      </c>
      <c r="CR26" s="1">
        <f t="shared" si="40"/>
        <v>-3.5087719298245612E-2</v>
      </c>
    </row>
    <row r="27" spans="1:96" x14ac:dyDescent="0.3">
      <c r="A27">
        <v>0.81742999999999999</v>
      </c>
      <c r="B27">
        <v>7.6314099999999998</v>
      </c>
      <c r="C27">
        <v>25</v>
      </c>
      <c r="D27">
        <v>0.23900000000000002</v>
      </c>
      <c r="E27">
        <f t="shared" si="10"/>
        <v>23.900000000000002</v>
      </c>
      <c r="G27">
        <v>25</v>
      </c>
      <c r="H27">
        <v>0.998</v>
      </c>
      <c r="I27">
        <v>7.883</v>
      </c>
      <c r="J27">
        <v>0.27500000000000002</v>
      </c>
      <c r="K27">
        <f t="shared" si="0"/>
        <v>27.500000000000004</v>
      </c>
      <c r="L27" s="1">
        <f t="shared" si="11"/>
        <v>3.6000000000000014</v>
      </c>
      <c r="M27" s="1">
        <f t="shared" si="12"/>
        <v>12.96000000000001</v>
      </c>
      <c r="N27" s="1">
        <f t="shared" si="13"/>
        <v>0.15062761506276146</v>
      </c>
      <c r="Q27">
        <v>25</v>
      </c>
      <c r="R27">
        <v>0.83526</v>
      </c>
      <c r="S27">
        <v>7.6633100000000001</v>
      </c>
      <c r="T27">
        <v>0.26</v>
      </c>
      <c r="U27">
        <f t="shared" si="1"/>
        <v>26</v>
      </c>
      <c r="V27" s="1">
        <f t="shared" si="14"/>
        <v>2.0999999999999979</v>
      </c>
      <c r="W27" s="1">
        <f t="shared" si="15"/>
        <v>4.4099999999999913</v>
      </c>
      <c r="X27" s="1">
        <f t="shared" si="16"/>
        <v>8.786610878661083E-2</v>
      </c>
      <c r="Z27">
        <v>25</v>
      </c>
      <c r="AA27">
        <v>0.98399999999999999</v>
      </c>
      <c r="AB27">
        <v>7.8559999999999999</v>
      </c>
      <c r="AC27">
        <v>0.22600000000000001</v>
      </c>
      <c r="AD27">
        <f t="shared" si="41"/>
        <v>22.6</v>
      </c>
      <c r="AE27" s="1">
        <f t="shared" si="17"/>
        <v>-1.3000000000000007</v>
      </c>
      <c r="AF27" s="1">
        <f t="shared" si="18"/>
        <v>1.6900000000000019</v>
      </c>
      <c r="AG27" s="1">
        <f t="shared" si="19"/>
        <v>-5.4393305439330519E-2</v>
      </c>
      <c r="AI27">
        <v>25</v>
      </c>
      <c r="AJ27">
        <v>0.83657999999999999</v>
      </c>
      <c r="AK27">
        <v>7.8441400000000003</v>
      </c>
      <c r="AL27">
        <v>0.23699999999999999</v>
      </c>
      <c r="AM27">
        <f t="shared" si="3"/>
        <v>23.7</v>
      </c>
      <c r="AN27" s="1">
        <f t="shared" si="20"/>
        <v>-0.20000000000000284</v>
      </c>
      <c r="AO27" s="1">
        <f t="shared" si="21"/>
        <v>4.0000000000001139E-2</v>
      </c>
      <c r="AP27" s="1">
        <f t="shared" si="22"/>
        <v>-8.3682008368202165E-3</v>
      </c>
      <c r="AR27">
        <v>25</v>
      </c>
      <c r="AS27">
        <v>0.95899999999999996</v>
      </c>
      <c r="AT27">
        <v>7.8579999999999997</v>
      </c>
      <c r="AU27">
        <v>0.253</v>
      </c>
      <c r="AV27">
        <f t="shared" si="4"/>
        <v>25.3</v>
      </c>
      <c r="AW27" s="1">
        <f t="shared" si="23"/>
        <v>1.3999999999999986</v>
      </c>
      <c r="AX27" s="1">
        <f t="shared" si="24"/>
        <v>1.959999999999996</v>
      </c>
      <c r="AY27" s="1">
        <f t="shared" si="25"/>
        <v>5.8577405857740628E-2</v>
      </c>
      <c r="BA27">
        <v>25</v>
      </c>
      <c r="BB27">
        <v>0.96599999999999997</v>
      </c>
      <c r="BC27">
        <v>7.859</v>
      </c>
      <c r="BD27">
        <v>0.247</v>
      </c>
      <c r="BE27">
        <f t="shared" si="5"/>
        <v>24.7</v>
      </c>
      <c r="BF27" s="1">
        <f t="shared" si="26"/>
        <v>0.79999999999999716</v>
      </c>
      <c r="BG27" s="1">
        <f t="shared" si="27"/>
        <v>0.63999999999999546</v>
      </c>
      <c r="BH27" s="1">
        <f t="shared" si="28"/>
        <v>3.34728033472802E-2</v>
      </c>
      <c r="BJ27">
        <v>25</v>
      </c>
      <c r="BK27">
        <v>0.95899999999999996</v>
      </c>
      <c r="BL27">
        <v>7.8579999999999997</v>
      </c>
      <c r="BM27">
        <v>0.24299999999999999</v>
      </c>
      <c r="BN27">
        <f t="shared" si="6"/>
        <v>24.3</v>
      </c>
      <c r="BO27" s="1">
        <f t="shared" si="29"/>
        <v>0.39999999999999858</v>
      </c>
      <c r="BP27" s="1">
        <f t="shared" si="30"/>
        <v>0.15999999999999887</v>
      </c>
      <c r="BQ27" s="1">
        <f t="shared" si="31"/>
        <v>1.6736401673640211E-2</v>
      </c>
      <c r="BS27">
        <v>25</v>
      </c>
      <c r="BT27">
        <v>0.96599999999999997</v>
      </c>
      <c r="BU27">
        <v>7.859</v>
      </c>
      <c r="BV27">
        <v>0.247</v>
      </c>
      <c r="BW27">
        <f t="shared" si="7"/>
        <v>24.7</v>
      </c>
      <c r="BX27" s="1">
        <f t="shared" si="32"/>
        <v>0.79999999999999716</v>
      </c>
      <c r="BY27" s="1">
        <f t="shared" si="33"/>
        <v>0.63999999999999546</v>
      </c>
      <c r="BZ27" s="1">
        <f t="shared" si="34"/>
        <v>3.34728033472802E-2</v>
      </c>
      <c r="CB27">
        <v>25</v>
      </c>
      <c r="CC27">
        <v>0.95699999999999996</v>
      </c>
      <c r="CD27">
        <v>7.8529999999999998</v>
      </c>
      <c r="CE27">
        <v>0.23100000000000001</v>
      </c>
      <c r="CF27">
        <f t="shared" si="8"/>
        <v>23.1</v>
      </c>
      <c r="CG27" s="1">
        <f t="shared" si="35"/>
        <v>-0.80000000000000071</v>
      </c>
      <c r="CH27" s="1">
        <f t="shared" si="36"/>
        <v>0.64000000000000112</v>
      </c>
      <c r="CI27" s="1">
        <f t="shared" si="37"/>
        <v>-3.3472803347280311E-2</v>
      </c>
      <c r="CK27">
        <v>25</v>
      </c>
      <c r="CL27">
        <v>0.94299999999999995</v>
      </c>
      <c r="CM27">
        <v>7.851</v>
      </c>
      <c r="CN27">
        <v>0.22700000000000001</v>
      </c>
      <c r="CO27">
        <f t="shared" si="9"/>
        <v>22.7</v>
      </c>
      <c r="CP27" s="1">
        <f t="shared" si="38"/>
        <v>-1.2000000000000028</v>
      </c>
      <c r="CQ27" s="1">
        <f t="shared" si="39"/>
        <v>1.4400000000000068</v>
      </c>
      <c r="CR27" s="1">
        <f t="shared" si="40"/>
        <v>-5.0209205020920633E-2</v>
      </c>
    </row>
    <row r="28" spans="1:96" x14ac:dyDescent="0.3">
      <c r="A28">
        <v>12.69416</v>
      </c>
      <c r="B28">
        <v>1.29152</v>
      </c>
      <c r="C28">
        <v>26</v>
      </c>
      <c r="D28">
        <v>0.24200000000000002</v>
      </c>
      <c r="E28">
        <f t="shared" si="10"/>
        <v>24.200000000000003</v>
      </c>
      <c r="G28">
        <v>26</v>
      </c>
      <c r="H28">
        <v>12.824999999999999</v>
      </c>
      <c r="I28">
        <v>1.4590000000000001</v>
      </c>
      <c r="J28">
        <v>0.26600000000000001</v>
      </c>
      <c r="K28">
        <f t="shared" si="0"/>
        <v>26.6</v>
      </c>
      <c r="L28" s="1">
        <f t="shared" si="11"/>
        <v>2.3999999999999986</v>
      </c>
      <c r="M28" s="1">
        <f t="shared" si="12"/>
        <v>5.7599999999999936</v>
      </c>
      <c r="N28" s="1">
        <f t="shared" si="13"/>
        <v>9.9173553719008156E-2</v>
      </c>
      <c r="Q28">
        <v>26</v>
      </c>
      <c r="R28">
        <v>12.70083</v>
      </c>
      <c r="S28">
        <v>1.2816399999999999</v>
      </c>
      <c r="T28">
        <v>0.252</v>
      </c>
      <c r="U28">
        <f t="shared" si="1"/>
        <v>25.2</v>
      </c>
      <c r="V28" s="1">
        <f t="shared" si="14"/>
        <v>0.99999999999999645</v>
      </c>
      <c r="W28" s="1">
        <f t="shared" si="15"/>
        <v>0.99999999999999289</v>
      </c>
      <c r="X28" s="1">
        <f t="shared" si="16"/>
        <v>4.1322314049586639E-2</v>
      </c>
      <c r="Z28">
        <v>26</v>
      </c>
      <c r="AA28">
        <v>12.816000000000001</v>
      </c>
      <c r="AB28">
        <v>1.4870000000000001</v>
      </c>
      <c r="AC28">
        <v>0.26100000000000001</v>
      </c>
      <c r="AD28">
        <f t="shared" si="41"/>
        <v>26.1</v>
      </c>
      <c r="AE28" s="1">
        <f>AD28-E28</f>
        <v>1.8999999999999986</v>
      </c>
      <c r="AF28" s="1">
        <f>AE28*AE28</f>
        <v>3.6099999999999945</v>
      </c>
      <c r="AG28" s="1">
        <f t="shared" si="19"/>
        <v>7.8512396694214726E-2</v>
      </c>
      <c r="AI28">
        <v>26</v>
      </c>
      <c r="AJ28">
        <v>12.724349999999999</v>
      </c>
      <c r="AK28">
        <v>1.4024399999999999</v>
      </c>
      <c r="AL28">
        <v>0.28299999999999997</v>
      </c>
      <c r="AM28">
        <f t="shared" si="3"/>
        <v>28.299999999999997</v>
      </c>
      <c r="AN28" s="1">
        <f t="shared" si="20"/>
        <v>4.0999999999999943</v>
      </c>
      <c r="AO28" s="1">
        <f t="shared" si="21"/>
        <v>16.809999999999953</v>
      </c>
      <c r="AP28" s="1">
        <f t="shared" si="22"/>
        <v>0.16942148760330555</v>
      </c>
      <c r="AR28">
        <v>26</v>
      </c>
      <c r="AS28">
        <v>12.798999999999999</v>
      </c>
      <c r="AT28">
        <v>1.47</v>
      </c>
      <c r="AU28">
        <v>0.254</v>
      </c>
      <c r="AV28">
        <f t="shared" si="4"/>
        <v>25.4</v>
      </c>
      <c r="AW28" s="1">
        <f t="shared" si="23"/>
        <v>1.1999999999999957</v>
      </c>
      <c r="AX28" s="1">
        <f t="shared" si="24"/>
        <v>1.4399999999999897</v>
      </c>
      <c r="AY28" s="1">
        <f t="shared" si="25"/>
        <v>4.9586776859503967E-2</v>
      </c>
      <c r="BA28">
        <v>26</v>
      </c>
      <c r="BB28">
        <v>12.817</v>
      </c>
      <c r="BC28">
        <v>1.4890000000000001</v>
      </c>
      <c r="BD28">
        <v>0.27700000000000002</v>
      </c>
      <c r="BE28">
        <f t="shared" si="5"/>
        <v>27.700000000000003</v>
      </c>
      <c r="BF28" s="1">
        <f t="shared" si="26"/>
        <v>3.5</v>
      </c>
      <c r="BG28" s="1">
        <f t="shared" si="27"/>
        <v>12.25</v>
      </c>
      <c r="BH28" s="1">
        <f t="shared" si="28"/>
        <v>0.14462809917355379</v>
      </c>
      <c r="BJ28">
        <v>26</v>
      </c>
      <c r="BK28">
        <v>12.798999999999999</v>
      </c>
      <c r="BL28">
        <v>1.47</v>
      </c>
      <c r="BM28">
        <v>0.24399999999999999</v>
      </c>
      <c r="BN28">
        <f t="shared" si="6"/>
        <v>24.4</v>
      </c>
      <c r="BO28" s="1">
        <f t="shared" si="29"/>
        <v>0.19999999999999574</v>
      </c>
      <c r="BP28" s="1">
        <f t="shared" si="30"/>
        <v>3.9999999999998294E-2</v>
      </c>
      <c r="BQ28" s="1">
        <f t="shared" si="31"/>
        <v>8.2644628099171058E-3</v>
      </c>
      <c r="BS28">
        <v>26</v>
      </c>
      <c r="BT28">
        <v>12.817</v>
      </c>
      <c r="BU28">
        <v>1.4890000000000001</v>
      </c>
      <c r="BV28">
        <v>0.27700000000000002</v>
      </c>
      <c r="BW28">
        <f t="shared" si="7"/>
        <v>27.700000000000003</v>
      </c>
      <c r="BX28" s="1">
        <f t="shared" si="32"/>
        <v>3.5</v>
      </c>
      <c r="BY28" s="1">
        <f t="shared" si="33"/>
        <v>12.25</v>
      </c>
      <c r="BZ28" s="1">
        <f t="shared" si="34"/>
        <v>0.14462809917355379</v>
      </c>
      <c r="CB28">
        <v>26</v>
      </c>
      <c r="CC28">
        <v>12.808999999999999</v>
      </c>
      <c r="CD28">
        <v>1.486</v>
      </c>
      <c r="CE28">
        <v>0.27100000000000002</v>
      </c>
      <c r="CF28">
        <f t="shared" si="8"/>
        <v>27.1</v>
      </c>
      <c r="CG28" s="1">
        <f t="shared" si="35"/>
        <v>2.8999999999999986</v>
      </c>
      <c r="CH28" s="1">
        <f t="shared" si="36"/>
        <v>8.4099999999999913</v>
      </c>
      <c r="CI28" s="1">
        <f t="shared" si="37"/>
        <v>0.11983471074380159</v>
      </c>
      <c r="CK28">
        <v>26</v>
      </c>
      <c r="CL28">
        <v>12.813000000000001</v>
      </c>
      <c r="CM28">
        <v>1.494</v>
      </c>
      <c r="CN28">
        <v>0.25900000000000001</v>
      </c>
      <c r="CO28">
        <f t="shared" si="9"/>
        <v>25.900000000000002</v>
      </c>
      <c r="CP28" s="1">
        <f t="shared" si="38"/>
        <v>1.6999999999999993</v>
      </c>
      <c r="CQ28" s="1">
        <f t="shared" si="39"/>
        <v>2.8899999999999975</v>
      </c>
      <c r="CR28" s="1">
        <f t="shared" si="40"/>
        <v>7.0247933884297398E-2</v>
      </c>
    </row>
    <row r="29" spans="1:96" x14ac:dyDescent="0.3">
      <c r="E29">
        <f>AVERAGE(E3:E28)</f>
        <v>26.361538461538462</v>
      </c>
      <c r="L29" s="1" cm="1">
        <f t="array" ref="L29">AVERAGE(ABS(L3:L28))</f>
        <v>1.8884615384615382</v>
      </c>
      <c r="M29" s="1">
        <f>SQRT(AVERAGE(M3:M28))</f>
        <v>2.1532622834987984</v>
      </c>
      <c r="N29" s="1" cm="1">
        <f t="array" ref="N29">AVERAGE(ABS(N3:N28))</f>
        <v>9.0637815118988357E-2</v>
      </c>
      <c r="V29" s="1" cm="1">
        <f t="array" ref="V29">AVERAGE(ABS(V3:V28))</f>
        <v>2.2769230769230764</v>
      </c>
      <c r="W29" s="1">
        <f>SQRT(AVERAGE(W3:W28))</f>
        <v>2.7331300737432889</v>
      </c>
      <c r="X29" s="1" cm="1">
        <f t="array" ref="X29">AVERAGE(ABS(X3:X28))</f>
        <v>0.11438461472564408</v>
      </c>
      <c r="AE29" s="1" cm="1">
        <f t="array" ref="AE29">AVERAGE(ABS(AE3:AE28))</f>
        <v>2.2923076923076917</v>
      </c>
      <c r="AF29" s="1">
        <f>SQRT(AVERAGE(AF3:AF28))</f>
        <v>2.4704406333844413</v>
      </c>
      <c r="AG29" s="1" cm="1">
        <f t="array" ref="AG29">AVERAGE(ABS(AG3:AG28))</f>
        <v>0.11346362855022676</v>
      </c>
      <c r="AN29" s="1" cm="1">
        <f t="array" ref="AN29">AVERAGE(ABS(AN3:AN28))</f>
        <v>2.3653846153846141</v>
      </c>
      <c r="AO29" s="1">
        <f>SQRT(AVERAGE(AO3:AO28))</f>
        <v>2.6912250570497265</v>
      </c>
      <c r="AP29" s="1" cm="1">
        <f t="array" ref="AP29">AVERAGE(ABS(AP3:AP28))</f>
        <v>0.11653662699613637</v>
      </c>
      <c r="AW29" s="1" cm="1">
        <f t="array" ref="AW29">AVERAGE(ABS(AW3:AW28))</f>
        <v>2.4384615384615369</v>
      </c>
      <c r="AX29" s="1">
        <f>SQRT(AVERAGE(AX3:AX28))</f>
        <v>4.4851893022394345</v>
      </c>
      <c r="AY29" s="1" cm="1">
        <f t="array" ref="AY29">AVERAGE(ABS(AY3:AY28))</f>
        <v>0.11582678411855786</v>
      </c>
      <c r="BF29" s="1" cm="1">
        <f t="array" ref="BF29">AVERAGE(ABS(BF3:BF28))</f>
        <v>2.0384615384615379</v>
      </c>
      <c r="BG29" s="1">
        <f>SQRT(AVERAGE(BG3:BG28))</f>
        <v>2.4549792416480991</v>
      </c>
      <c r="BH29" s="1" cm="1">
        <f t="array" ref="BH29">AVERAGE(ABS(BH3:BH28))</f>
        <v>0.10985489052773627</v>
      </c>
      <c r="BO29" s="1" cm="1">
        <f t="array" ref="BO29">AVERAGE(ABS(BO3:BO28))</f>
        <v>4.461538461538459</v>
      </c>
      <c r="BP29" s="1">
        <f>SQRT(AVERAGE(BP3:BP28))</f>
        <v>14.241974798245016</v>
      </c>
      <c r="BQ29" s="1" cm="1">
        <f t="array" ref="BQ29">AVERAGE(ABS(BQ3:BQ28))</f>
        <v>0.12528920436990104</v>
      </c>
      <c r="BX29" s="1" cm="1">
        <f t="array" ref="BX29">AVERAGE(ABS(BX3:BX28))</f>
        <v>5.5500000000000007</v>
      </c>
      <c r="BY29" s="1">
        <f>SQRT(AVERAGE(BY3:BY28))</f>
        <v>14.552438336528402</v>
      </c>
      <c r="BZ29" s="1" cm="1">
        <f t="array" ref="BZ29">AVERAGE(ABS(BZ3:BZ28))</f>
        <v>0.18599786278960287</v>
      </c>
      <c r="CG29" s="1" cm="1">
        <f t="array" ref="CG29">AVERAGE(ABS(CG3:CG28))</f>
        <v>6.2346153846153847</v>
      </c>
      <c r="CH29" s="1">
        <f>SQRT(AVERAGE(CH3:CH28))</f>
        <v>17.203029697388502</v>
      </c>
      <c r="CI29" s="1" cm="1">
        <f t="array" ref="CI29">AVERAGE(ABS(CI3:CI28))</f>
        <v>0.17893600262954937</v>
      </c>
      <c r="CP29" s="1" cm="1">
        <f t="array" ref="CP29">AVERAGE(ABS(CP3:CP28))</f>
        <v>7</v>
      </c>
      <c r="CQ29" s="1">
        <f>SQRT(AVERAGE(CQ3:CQ28))</f>
        <v>17.531619785624265</v>
      </c>
      <c r="CR29" s="1" cm="1">
        <f t="array" ref="CR29">AVERAGE(ABS(CR3:CR28))</f>
        <v>0.22986850295338013</v>
      </c>
    </row>
    <row r="30" spans="1:96" x14ac:dyDescent="0.3">
      <c r="L30" s="1"/>
      <c r="M30" s="1"/>
      <c r="N30" s="1"/>
      <c r="V30" s="1"/>
      <c r="W30" s="1"/>
      <c r="X30" s="1"/>
      <c r="AE30" s="1"/>
      <c r="AF30" s="1"/>
      <c r="AG30" s="1"/>
      <c r="AN30" s="1"/>
      <c r="AO30" s="1"/>
      <c r="AP30" s="1"/>
      <c r="AW30" s="1"/>
      <c r="AX30" s="1"/>
      <c r="AY30" s="1"/>
      <c r="BF30" s="1"/>
      <c r="BG30" s="1"/>
      <c r="BH30" s="1"/>
      <c r="BO30" s="1"/>
      <c r="BP30" s="1"/>
      <c r="BQ30" s="1"/>
      <c r="BX30" s="1"/>
      <c r="BY30" s="1"/>
      <c r="BZ30" s="1"/>
      <c r="CG30" s="1"/>
      <c r="CH30" s="1"/>
      <c r="CI30" s="1"/>
      <c r="CP30" s="1"/>
      <c r="CQ30" s="1"/>
      <c r="CR30" s="1"/>
    </row>
    <row r="31" spans="1:96" x14ac:dyDescent="0.3">
      <c r="L31" s="1"/>
      <c r="M31" s="1"/>
      <c r="N31" s="1"/>
      <c r="V31" s="1"/>
      <c r="W31" s="1"/>
      <c r="X31" s="1"/>
      <c r="AE31" s="1"/>
      <c r="AF31" s="1"/>
      <c r="AG31" s="1"/>
      <c r="AN31" s="1"/>
      <c r="AO31" s="1"/>
      <c r="AP31" s="1"/>
      <c r="AW31" s="1"/>
      <c r="AX31" s="1"/>
      <c r="AY31" s="1"/>
      <c r="BF31" s="1"/>
      <c r="BG31" s="1"/>
      <c r="BH31" s="1"/>
      <c r="BO31" s="1"/>
      <c r="BP31" s="1"/>
      <c r="BQ31" s="1"/>
      <c r="BX31" s="1"/>
      <c r="BY31" s="1"/>
      <c r="BZ31" s="1"/>
      <c r="CG31" s="1"/>
      <c r="CH31" s="1"/>
      <c r="CI31" s="1"/>
      <c r="CP31" s="1"/>
      <c r="CQ31" s="1"/>
      <c r="CR31" s="1"/>
    </row>
    <row r="32" spans="1:96" x14ac:dyDescent="0.3">
      <c r="L32" s="1"/>
      <c r="M32" s="1"/>
      <c r="N32" s="1"/>
      <c r="V32" s="1"/>
      <c r="W32" s="1"/>
      <c r="X32" s="1"/>
      <c r="AE32" s="1"/>
      <c r="AF32" s="1"/>
      <c r="AG32" s="1"/>
      <c r="AN32" s="1"/>
      <c r="AO32" s="1"/>
      <c r="AP32" s="1"/>
      <c r="AW32" s="1"/>
      <c r="AX32" s="1"/>
      <c r="AY32" s="1"/>
      <c r="BF32" s="1"/>
      <c r="BG32" s="1"/>
      <c r="BH32" s="1"/>
      <c r="BO32" s="1"/>
      <c r="BP32" s="1"/>
      <c r="BQ32" s="1"/>
      <c r="BX32" s="1"/>
      <c r="BY32" s="1"/>
      <c r="BZ32" s="1"/>
      <c r="CG32" s="1"/>
      <c r="CH32" s="1"/>
      <c r="CI32" s="1"/>
      <c r="CP32" s="1"/>
      <c r="CQ32" s="1"/>
      <c r="CR32" s="1"/>
    </row>
    <row r="33" spans="5:96" x14ac:dyDescent="0.3">
      <c r="L33" s="1"/>
      <c r="M33" s="1"/>
      <c r="N33" s="1"/>
      <c r="V33" s="1"/>
      <c r="W33" s="1"/>
      <c r="X33" s="1"/>
      <c r="AE33" s="1"/>
      <c r="AF33" s="1"/>
      <c r="AG33" s="1"/>
      <c r="AN33" s="1"/>
      <c r="AO33" s="1"/>
      <c r="AP33" s="1"/>
      <c r="AW33" s="1"/>
      <c r="AX33" s="1"/>
      <c r="AY33" s="1"/>
      <c r="BF33" s="1"/>
      <c r="BG33" s="1"/>
      <c r="BH33" s="1"/>
      <c r="BO33" s="1"/>
      <c r="BP33" s="1"/>
      <c r="BQ33" s="1"/>
      <c r="BX33" s="1"/>
      <c r="BY33" s="1"/>
      <c r="BZ33" s="1"/>
      <c r="CG33" s="1"/>
      <c r="CH33" s="1"/>
      <c r="CI33" s="1"/>
      <c r="CP33" s="1"/>
      <c r="CQ33" s="1"/>
      <c r="CR33" s="1"/>
    </row>
    <row r="34" spans="5:96" x14ac:dyDescent="0.3">
      <c r="L34" s="1"/>
      <c r="M34" s="1"/>
      <c r="N34" s="1"/>
      <c r="V34" s="1"/>
      <c r="W34" s="1"/>
      <c r="X34" s="1"/>
      <c r="AE34" s="1"/>
      <c r="AF34" s="1"/>
      <c r="AG34" s="1"/>
      <c r="AN34" s="1"/>
      <c r="AO34" s="1"/>
      <c r="AP34" s="1"/>
      <c r="AW34" s="1"/>
      <c r="AX34" s="1"/>
      <c r="AY34" s="1"/>
      <c r="BF34" s="1"/>
      <c r="BG34" s="1"/>
      <c r="BH34" s="1"/>
      <c r="BO34" s="1"/>
      <c r="BP34" s="1"/>
      <c r="BQ34" s="1"/>
      <c r="BX34" s="1"/>
      <c r="BY34" s="1"/>
      <c r="BZ34" s="1"/>
      <c r="CG34" s="1"/>
      <c r="CH34" s="1"/>
      <c r="CI34" s="1"/>
      <c r="CP34" s="1"/>
      <c r="CQ34" s="1"/>
      <c r="CR34" s="1"/>
    </row>
    <row r="35" spans="5:96" x14ac:dyDescent="0.3">
      <c r="L35" s="1"/>
      <c r="M35" s="1"/>
      <c r="N35" s="1"/>
      <c r="V35" s="1"/>
      <c r="W35" s="1"/>
      <c r="X35" s="1"/>
      <c r="AE35" s="1"/>
      <c r="AF35" s="1"/>
      <c r="AG35" s="1"/>
      <c r="AN35" s="1"/>
      <c r="AO35" s="1"/>
      <c r="AP35" s="1"/>
      <c r="AW35" s="1"/>
      <c r="AX35" s="1"/>
      <c r="AY35" s="1"/>
      <c r="BF35" s="1"/>
      <c r="BG35" s="1"/>
      <c r="BH35" s="1"/>
      <c r="BO35" s="1"/>
      <c r="BP35" s="1"/>
      <c r="BQ35" s="1"/>
      <c r="BX35" s="1"/>
      <c r="BY35" s="1"/>
      <c r="BZ35" s="1"/>
      <c r="CG35" s="1"/>
      <c r="CH35" s="1"/>
      <c r="CI35" s="1"/>
      <c r="CP35" s="1"/>
      <c r="CQ35" s="1"/>
      <c r="CR35" s="1"/>
    </row>
    <row r="36" spans="5:96" x14ac:dyDescent="0.3">
      <c r="E36">
        <v>26.361538461538462</v>
      </c>
      <c r="L36" s="1">
        <v>1.8884615384615382</v>
      </c>
      <c r="M36" s="1">
        <v>2.1532622834987984</v>
      </c>
      <c r="N36" s="1">
        <v>9.0637815118988357E-2</v>
      </c>
      <c r="Q36" s="4">
        <v>1.8884615384615382</v>
      </c>
      <c r="R36" s="4">
        <v>2.1532622834987984</v>
      </c>
      <c r="S36" s="4">
        <v>9.0637815118988357E-2</v>
      </c>
      <c r="T36" s="4" cm="1">
        <f t="array" ref="T36:T45">100*S36:S45</f>
        <v>9.063781511898835</v>
      </c>
    </row>
    <row r="37" spans="5:96" x14ac:dyDescent="0.3">
      <c r="L37" s="1">
        <v>2.2769230769230764</v>
      </c>
      <c r="M37" s="1">
        <v>2.7331300737432889</v>
      </c>
      <c r="N37" s="1">
        <v>0.11438461472564408</v>
      </c>
      <c r="Q37" s="4">
        <v>2.2769230769230764</v>
      </c>
      <c r="R37" s="4">
        <v>2.7331300737432889</v>
      </c>
      <c r="S37" s="4">
        <v>0.11438461472564408</v>
      </c>
      <c r="T37" s="4">
        <v>11.438461472564407</v>
      </c>
      <c r="V37" s="1"/>
      <c r="W37" s="1"/>
      <c r="X37" s="1"/>
      <c r="CP37" s="1"/>
      <c r="CQ37" s="1"/>
      <c r="CR37" s="1"/>
    </row>
    <row r="38" spans="5:96" x14ac:dyDescent="0.3">
      <c r="L38" s="1">
        <v>2.2923076923076917</v>
      </c>
      <c r="M38" s="1">
        <v>2.4704406333844413</v>
      </c>
      <c r="N38" s="1">
        <v>0.11346362855022676</v>
      </c>
      <c r="Q38" s="4">
        <v>2.2923076923076917</v>
      </c>
      <c r="R38" s="4">
        <v>2.4704406333844413</v>
      </c>
      <c r="S38" s="4">
        <v>0.11346362855022676</v>
      </c>
      <c r="T38" s="4">
        <v>11.346362855022676</v>
      </c>
      <c r="V38" s="1"/>
      <c r="W38" s="1"/>
      <c r="X38" s="1"/>
      <c r="CG38" s="1"/>
      <c r="CH38" s="1"/>
      <c r="CI38" s="1"/>
      <c r="CP38" s="1"/>
      <c r="CQ38" s="1"/>
      <c r="CR38" s="1"/>
    </row>
    <row r="39" spans="5:96" x14ac:dyDescent="0.3">
      <c r="L39" s="1">
        <v>2.3653846153846141</v>
      </c>
      <c r="M39" s="1">
        <v>2.6912250570497265</v>
      </c>
      <c r="N39" s="1">
        <v>0.11653662699613637</v>
      </c>
      <c r="Q39" s="4">
        <v>2.3653846153846141</v>
      </c>
      <c r="R39" s="4">
        <v>2.6912250570497265</v>
      </c>
      <c r="S39" s="4">
        <v>0.11653662699613637</v>
      </c>
      <c r="T39" s="4">
        <v>11.653662699613637</v>
      </c>
      <c r="V39" s="1"/>
      <c r="W39" s="1"/>
      <c r="X39" s="1"/>
      <c r="BX39" s="1"/>
      <c r="BY39" s="1"/>
      <c r="BZ39" s="1"/>
      <c r="CG39" s="1"/>
      <c r="CH39" s="1"/>
      <c r="CI39" s="1"/>
      <c r="CP39" s="1"/>
      <c r="CQ39" s="1"/>
      <c r="CR39" s="1"/>
    </row>
    <row r="40" spans="5:96" x14ac:dyDescent="0.3">
      <c r="L40" s="1">
        <v>2.4384615384615369</v>
      </c>
      <c r="M40" s="1">
        <v>4.4851893022394345</v>
      </c>
      <c r="N40" s="1">
        <v>0.11582678411855786</v>
      </c>
      <c r="Q40" s="4">
        <v>2.4384615384615369</v>
      </c>
      <c r="R40" s="4">
        <v>4.4851893022394345</v>
      </c>
      <c r="S40" s="4">
        <v>0.11582678411855786</v>
      </c>
      <c r="T40" s="4">
        <v>11.582678411855786</v>
      </c>
      <c r="V40" s="1"/>
      <c r="W40" s="1"/>
      <c r="X40" s="1"/>
      <c r="BO40" s="1"/>
      <c r="BP40" s="1"/>
      <c r="BQ40" s="1"/>
      <c r="BX40" s="1"/>
      <c r="BY40" s="1"/>
      <c r="BZ40" s="1"/>
      <c r="CG40" s="1"/>
      <c r="CH40" s="1"/>
      <c r="CI40" s="1"/>
      <c r="CP40" s="1"/>
      <c r="CQ40" s="1"/>
      <c r="CR40" s="1"/>
    </row>
    <row r="41" spans="5:96" x14ac:dyDescent="0.3">
      <c r="L41" s="1">
        <v>2.5384615384615401</v>
      </c>
      <c r="M41" s="1">
        <v>2.4549792416480991</v>
      </c>
      <c r="N41" s="1">
        <v>0.10985489052773627</v>
      </c>
      <c r="Q41" s="4">
        <v>2.5384615384615401</v>
      </c>
      <c r="R41" s="4">
        <v>2.4549792416480991</v>
      </c>
      <c r="S41" s="4">
        <v>0.10985489052773627</v>
      </c>
      <c r="T41" s="4">
        <v>10.985489052773627</v>
      </c>
      <c r="V41" s="1"/>
      <c r="W41" s="1"/>
      <c r="X41" s="1"/>
      <c r="BF41" s="1"/>
      <c r="BG41" s="1"/>
      <c r="BH41" s="1"/>
      <c r="BO41" s="1"/>
      <c r="BP41" s="1"/>
      <c r="BQ41" s="1"/>
      <c r="BX41" s="1"/>
      <c r="BY41" s="1"/>
      <c r="BZ41" s="1"/>
      <c r="CG41" s="1"/>
      <c r="CH41" s="1"/>
      <c r="CI41" s="1"/>
      <c r="CP41" s="1"/>
      <c r="CQ41" s="1"/>
      <c r="CR41" s="1"/>
    </row>
    <row r="42" spans="5:96" x14ac:dyDescent="0.3">
      <c r="L42" s="1">
        <v>4.461538461538459</v>
      </c>
      <c r="M42" s="1">
        <v>14.241974798245016</v>
      </c>
      <c r="N42" s="1">
        <v>0.12528920436990104</v>
      </c>
      <c r="Q42" s="4">
        <v>4.461538461538459</v>
      </c>
      <c r="R42" s="4">
        <v>14.241974798245016</v>
      </c>
      <c r="S42" s="4">
        <v>0.12528920436990104</v>
      </c>
      <c r="T42" s="4">
        <v>12.528920436990104</v>
      </c>
      <c r="V42" s="1"/>
      <c r="W42" s="1"/>
      <c r="X42" s="1"/>
      <c r="AW42" s="1"/>
      <c r="AX42" s="1"/>
      <c r="AY42" s="1"/>
      <c r="BF42" s="1"/>
      <c r="BG42" s="1"/>
      <c r="BH42" s="1"/>
      <c r="BO42" s="1"/>
      <c r="BP42" s="1"/>
      <c r="BQ42" s="1"/>
      <c r="BX42" s="1"/>
      <c r="BY42" s="1"/>
      <c r="BZ42" s="1"/>
      <c r="CG42" s="1"/>
      <c r="CH42" s="1"/>
      <c r="CI42" s="1"/>
      <c r="CP42" s="1"/>
      <c r="CQ42" s="1"/>
      <c r="CR42" s="1"/>
    </row>
    <row r="43" spans="5:96" x14ac:dyDescent="0.3">
      <c r="L43" s="1">
        <v>5.5500000000000007</v>
      </c>
      <c r="M43" s="1">
        <v>14.552438336528402</v>
      </c>
      <c r="N43" s="1">
        <v>0.18599786278960287</v>
      </c>
      <c r="Q43" s="4">
        <v>5.5500000000000007</v>
      </c>
      <c r="R43" s="4">
        <v>14.552438336528402</v>
      </c>
      <c r="S43" s="4">
        <v>0.18599786278960287</v>
      </c>
      <c r="T43" s="4">
        <v>18.599786278960288</v>
      </c>
      <c r="V43" s="1"/>
      <c r="W43" s="1"/>
      <c r="X43" s="1"/>
      <c r="AN43" s="1"/>
      <c r="AO43" s="1"/>
      <c r="AP43" s="1"/>
      <c r="AW43" s="1"/>
      <c r="AX43" s="1"/>
      <c r="AY43" s="1"/>
      <c r="BF43" s="1"/>
      <c r="BG43" s="1"/>
      <c r="BH43" s="1"/>
      <c r="BO43" s="1"/>
      <c r="BP43" s="1"/>
      <c r="BQ43" s="1"/>
      <c r="BX43" s="1"/>
      <c r="BY43" s="1"/>
      <c r="BZ43" s="1"/>
      <c r="CG43" s="1"/>
      <c r="CH43" s="1"/>
      <c r="CI43" s="1"/>
      <c r="CP43" s="1"/>
      <c r="CQ43" s="1"/>
      <c r="CR43" s="1"/>
    </row>
    <row r="44" spans="5:96" x14ac:dyDescent="0.3">
      <c r="L44" s="1">
        <v>6.2346153846153847</v>
      </c>
      <c r="M44" s="1">
        <v>17.203029697388502</v>
      </c>
      <c r="N44" s="1">
        <v>0.17893600262954937</v>
      </c>
      <c r="Q44" s="4">
        <v>6.2346153846153847</v>
      </c>
      <c r="R44" s="4">
        <v>17.203029697388502</v>
      </c>
      <c r="S44" s="4">
        <v>0.17893600262954937</v>
      </c>
      <c r="T44" s="4">
        <v>17.893600262954937</v>
      </c>
    </row>
    <row r="45" spans="5:96" x14ac:dyDescent="0.3">
      <c r="L45" s="1">
        <v>7</v>
      </c>
      <c r="M45" s="1">
        <v>17.531619785624265</v>
      </c>
      <c r="N45" s="1">
        <v>0.22986850295338013</v>
      </c>
      <c r="Q45" s="4">
        <v>7</v>
      </c>
      <c r="R45" s="4">
        <v>17.531619785624265</v>
      </c>
      <c r="S45" s="4">
        <v>0.22986850295338013</v>
      </c>
      <c r="T45" s="4">
        <v>22.986850295338012</v>
      </c>
      <c r="W45" s="1"/>
      <c r="X45" s="1"/>
      <c r="AF45" s="1"/>
      <c r="AG45" s="1"/>
    </row>
  </sheetData>
  <mergeCells count="11">
    <mergeCell ref="AR1:AU1"/>
    <mergeCell ref="A1:D1"/>
    <mergeCell ref="G1:J1"/>
    <mergeCell ref="Q1:T1"/>
    <mergeCell ref="Z1:AC1"/>
    <mergeCell ref="AI1:AL1"/>
    <mergeCell ref="BA1:BD1"/>
    <mergeCell ref="BJ1:BM1"/>
    <mergeCell ref="BS1:BV1"/>
    <mergeCell ref="CB1:CE1"/>
    <mergeCell ref="CK1:C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4770-23E8-482D-8180-D28D614A01E0}">
  <dimension ref="A1:E11"/>
  <sheetViews>
    <sheetView workbookViewId="0">
      <selection activeCell="A18" sqref="A18:XFD19"/>
    </sheetView>
  </sheetViews>
  <sheetFormatPr defaultRowHeight="14" x14ac:dyDescent="0.3"/>
  <sheetData>
    <row r="1" spans="1:5" x14ac:dyDescent="0.3">
      <c r="A1" s="2" t="s">
        <v>21</v>
      </c>
      <c r="B1" s="1" t="s">
        <v>19</v>
      </c>
      <c r="C1" s="1" t="s">
        <v>20</v>
      </c>
    </row>
    <row r="2" spans="1:5" x14ac:dyDescent="0.3">
      <c r="A2">
        <v>-1.7073170731707214E-2</v>
      </c>
      <c r="B2">
        <v>1.6650642703482181</v>
      </c>
      <c r="C2">
        <v>1.0137821644363098E-3</v>
      </c>
      <c r="E2">
        <f t="shared" ref="E2:E11" si="0">ABS(A2)</f>
        <v>1.7073170731707214E-2</v>
      </c>
    </row>
    <row r="3" spans="1:5" x14ac:dyDescent="0.3">
      <c r="A3">
        <v>0.44878048780487717</v>
      </c>
      <c r="B3">
        <v>2.0702303394879964</v>
      </c>
      <c r="C3">
        <v>1.6304106512027728E-2</v>
      </c>
      <c r="E3">
        <f t="shared" si="0"/>
        <v>0.44878048780487717</v>
      </c>
    </row>
    <row r="4" spans="1:5" x14ac:dyDescent="0.3">
      <c r="A4">
        <v>0.52926829268292597</v>
      </c>
      <c r="B4">
        <v>2.6481931253721447</v>
      </c>
      <c r="C4">
        <v>1.35285805915115E-2</v>
      </c>
      <c r="E4">
        <f t="shared" si="0"/>
        <v>0.52926829268292597</v>
      </c>
    </row>
    <row r="5" spans="1:5" x14ac:dyDescent="0.3">
      <c r="A5">
        <v>0.30243902439024339</v>
      </c>
      <c r="B5">
        <v>5.0874307090625033</v>
      </c>
      <c r="C5">
        <v>9.7229642208947267E-3</v>
      </c>
      <c r="E5">
        <f t="shared" si="0"/>
        <v>0.30243902439024339</v>
      </c>
    </row>
    <row r="6" spans="1:5" x14ac:dyDescent="0.3">
      <c r="A6">
        <v>-0.69512195121951292</v>
      </c>
      <c r="B6">
        <v>6.0929587510062317</v>
      </c>
      <c r="C6">
        <v>-3.6532007896489249E-2</v>
      </c>
      <c r="E6">
        <f t="shared" si="0"/>
        <v>0.69512195121951292</v>
      </c>
    </row>
    <row r="7" spans="1:5" x14ac:dyDescent="0.3">
      <c r="A7">
        <v>-0.66341463414634183</v>
      </c>
      <c r="B7">
        <v>7.5119741811031924</v>
      </c>
      <c r="C7">
        <v>-4.4195283350902198E-2</v>
      </c>
      <c r="E7">
        <f t="shared" si="0"/>
        <v>0.66341463414634183</v>
      </c>
    </row>
    <row r="8" spans="1:5" x14ac:dyDescent="0.3">
      <c r="A8" s="1">
        <v>-0.87560975609756164</v>
      </c>
      <c r="B8" s="1">
        <v>7.5205896240044199</v>
      </c>
      <c r="C8" s="1">
        <v>-4.7000379292136081E-2</v>
      </c>
      <c r="E8">
        <f t="shared" si="0"/>
        <v>0.87560975609756164</v>
      </c>
    </row>
    <row r="9" spans="1:5" x14ac:dyDescent="0.3">
      <c r="A9">
        <v>-1.1707317073170738</v>
      </c>
      <c r="B9">
        <v>7.4303596078816421</v>
      </c>
      <c r="C9">
        <v>-4.7510660004779201E-2</v>
      </c>
      <c r="E9">
        <f t="shared" si="0"/>
        <v>1.1707317073170738</v>
      </c>
    </row>
    <row r="10" spans="1:5" x14ac:dyDescent="0.3">
      <c r="A10">
        <v>-2.3414634146341466</v>
      </c>
      <c r="B10">
        <v>7.75949457745548</v>
      </c>
      <c r="C10">
        <v>-6.3265993100172405E-2</v>
      </c>
      <c r="E10">
        <f t="shared" si="0"/>
        <v>2.3414634146341466</v>
      </c>
    </row>
    <row r="11" spans="1:5" x14ac:dyDescent="0.3">
      <c r="A11">
        <v>-2.2512195121951222</v>
      </c>
      <c r="B11">
        <v>7.5965492807991284</v>
      </c>
      <c r="C11">
        <v>-5.1752898145205027E-2</v>
      </c>
      <c r="E11">
        <f t="shared" si="0"/>
        <v>2.2512195121951222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胸径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Sunkin</dc:creator>
  <cp:lastModifiedBy>绍强 谢</cp:lastModifiedBy>
  <dcterms:created xsi:type="dcterms:W3CDTF">2015-06-05T18:19:34Z</dcterms:created>
  <dcterms:modified xsi:type="dcterms:W3CDTF">2025-03-25T08:34:56Z</dcterms:modified>
</cp:coreProperties>
</file>