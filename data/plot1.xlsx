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大论文数据\--树林1\"/>
    </mc:Choice>
  </mc:AlternateContent>
  <xr:revisionPtr revIDLastSave="0" documentId="13_ncr:1_{2C631283-E6ED-449E-81BD-882C1D5B0B1D}" xr6:coauthVersionLast="47" xr6:coauthVersionMax="47" xr10:uidLastSave="{00000000-0000-0000-0000-000000000000}"/>
  <bookViews>
    <workbookView xWindow="4635" yWindow="-16320" windowWidth="29040" windowHeight="16440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8" i="2" l="1"/>
  <c r="T39" i="2"/>
  <c r="T40" i="2"/>
  <c r="T41" i="2"/>
  <c r="T42" i="2"/>
  <c r="T43" i="2"/>
  <c r="T44" i="2"/>
  <c r="T45" i="2"/>
  <c r="T46" i="2"/>
  <c r="T3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CQ32" i="2"/>
  <c r="CQ4" i="2"/>
  <c r="CQ5" i="2"/>
  <c r="CQ6" i="2"/>
  <c r="CQ7" i="2"/>
  <c r="CQ8" i="2"/>
  <c r="CQ9" i="2"/>
  <c r="CQ10" i="2"/>
  <c r="CQ11" i="2"/>
  <c r="CQ12" i="2"/>
  <c r="CQ13" i="2"/>
  <c r="CQ14" i="2"/>
  <c r="CQ15" i="2"/>
  <c r="CQ16" i="2"/>
  <c r="CQ17" i="2"/>
  <c r="CQ18" i="2"/>
  <c r="CQ19" i="2"/>
  <c r="CQ20" i="2"/>
  <c r="CQ21" i="2"/>
  <c r="CQ22" i="2"/>
  <c r="CQ23" i="2"/>
  <c r="CQ24" i="2"/>
  <c r="CQ25" i="2"/>
  <c r="CQ26" i="2"/>
  <c r="CQ27" i="2"/>
  <c r="CQ28" i="2"/>
  <c r="CQ29" i="2"/>
  <c r="CQ30" i="2"/>
  <c r="CQ31" i="2"/>
  <c r="CP32" i="2" a="1"/>
  <c r="CP32" i="2" s="1"/>
  <c r="CG32" i="2" l="1" a="1"/>
  <c r="CG32" i="2" s="1"/>
  <c r="CF6" i="2" l="1"/>
  <c r="CO14" i="2"/>
  <c r="CO17" i="2"/>
  <c r="CO19" i="2"/>
  <c r="CO30" i="2"/>
  <c r="CR29" i="2"/>
  <c r="CR30" i="2"/>
  <c r="CR31" i="2"/>
  <c r="CP29" i="2"/>
  <c r="CP30" i="2"/>
  <c r="CP31" i="2"/>
  <c r="CO29" i="2"/>
  <c r="CO31" i="2"/>
  <c r="CI29" i="2"/>
  <c r="CI31" i="2"/>
  <c r="CH29" i="2"/>
  <c r="CH31" i="2"/>
  <c r="CG29" i="2"/>
  <c r="CG31" i="2"/>
  <c r="CF29" i="2"/>
  <c r="CF30" i="2"/>
  <c r="CI30" i="2" s="1"/>
  <c r="CF31" i="2"/>
  <c r="BZ29" i="2"/>
  <c r="BZ30" i="2"/>
  <c r="BZ31" i="2"/>
  <c r="BX29" i="2"/>
  <c r="BY29" i="2" s="1"/>
  <c r="BX30" i="2"/>
  <c r="BY30" i="2" s="1"/>
  <c r="BX31" i="2"/>
  <c r="BY31" i="2" s="1"/>
  <c r="BQ29" i="2"/>
  <c r="BQ30" i="2"/>
  <c r="BQ31" i="2"/>
  <c r="BP29" i="2"/>
  <c r="BO29" i="2"/>
  <c r="BO30" i="2"/>
  <c r="BP30" i="2" s="1"/>
  <c r="BO31" i="2"/>
  <c r="BP31" i="2" s="1"/>
  <c r="BH29" i="2"/>
  <c r="BH30" i="2"/>
  <c r="BH31" i="2"/>
  <c r="BF29" i="2"/>
  <c r="BG29" i="2" s="1"/>
  <c r="BF30" i="2"/>
  <c r="BG30" i="2" s="1"/>
  <c r="BF31" i="2"/>
  <c r="BG31" i="2" s="1"/>
  <c r="AY29" i="2"/>
  <c r="AY30" i="2"/>
  <c r="AY31" i="2"/>
  <c r="AW29" i="2"/>
  <c r="AX29" i="2" s="1"/>
  <c r="AW30" i="2"/>
  <c r="AX30" i="2" s="1"/>
  <c r="AW31" i="2"/>
  <c r="AX31" i="2" s="1"/>
  <c r="AP29" i="2"/>
  <c r="AP30" i="2"/>
  <c r="AP31" i="2"/>
  <c r="AO29" i="2"/>
  <c r="AO30" i="2"/>
  <c r="AO31" i="2"/>
  <c r="AN29" i="2"/>
  <c r="AN30" i="2"/>
  <c r="AN31" i="2"/>
  <c r="AG29" i="2"/>
  <c r="AG30" i="2"/>
  <c r="AG31" i="2"/>
  <c r="AE29" i="2"/>
  <c r="AF29" i="2" s="1"/>
  <c r="AE30" i="2"/>
  <c r="AF30" i="2" s="1"/>
  <c r="AE31" i="2"/>
  <c r="AF31" i="2" s="1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W29" i="2" s="1"/>
  <c r="V30" i="2"/>
  <c r="W30" i="2" s="1"/>
  <c r="V31" i="2"/>
  <c r="W31" i="2" s="1"/>
  <c r="X29" i="2"/>
  <c r="X30" i="2"/>
  <c r="X31" i="2"/>
  <c r="N29" i="2"/>
  <c r="N30" i="2"/>
  <c r="M29" i="2"/>
  <c r="L29" i="2"/>
  <c r="L30" i="2"/>
  <c r="M30" i="2" s="1"/>
  <c r="N31" i="2"/>
  <c r="E29" i="2"/>
  <c r="E30" i="2"/>
  <c r="E31" i="2"/>
  <c r="CO3" i="2"/>
  <c r="CO4" i="2"/>
  <c r="CO5" i="2"/>
  <c r="CO6" i="2"/>
  <c r="CO7" i="2"/>
  <c r="CO8" i="2"/>
  <c r="CO9" i="2"/>
  <c r="CO10" i="2"/>
  <c r="CO11" i="2"/>
  <c r="CO12" i="2"/>
  <c r="CO13" i="2"/>
  <c r="CO15" i="2"/>
  <c r="CO16" i="2"/>
  <c r="CO18" i="2"/>
  <c r="CO20" i="2"/>
  <c r="CO21" i="2"/>
  <c r="CO22" i="2"/>
  <c r="CO23" i="2"/>
  <c r="CO24" i="2"/>
  <c r="CO25" i="2"/>
  <c r="CO26" i="2"/>
  <c r="CO27" i="2"/>
  <c r="CO28" i="2"/>
  <c r="CF28" i="2"/>
  <c r="CF14" i="2"/>
  <c r="CF13" i="2"/>
  <c r="CF12" i="2"/>
  <c r="CF27" i="2"/>
  <c r="CF26" i="2"/>
  <c r="CF25" i="2"/>
  <c r="CF24" i="2"/>
  <c r="CF23" i="2"/>
  <c r="CF22" i="2"/>
  <c r="CF21" i="2"/>
  <c r="CF20" i="2"/>
  <c r="CF19" i="2"/>
  <c r="CF18" i="2"/>
  <c r="CF17" i="2"/>
  <c r="CF16" i="2"/>
  <c r="CF15" i="2"/>
  <c r="CF11" i="2"/>
  <c r="CF10" i="2"/>
  <c r="CF9" i="2"/>
  <c r="CF8" i="2"/>
  <c r="CF7" i="2"/>
  <c r="CF5" i="2"/>
  <c r="CF4" i="2"/>
  <c r="CF3" i="2"/>
  <c r="E4" i="2"/>
  <c r="E5" i="2"/>
  <c r="E6" i="2"/>
  <c r="E7" i="2"/>
  <c r="E8" i="2"/>
  <c r="E9" i="2"/>
  <c r="E10" i="2"/>
  <c r="E11" i="2"/>
  <c r="E18" i="2"/>
  <c r="E19" i="2"/>
  <c r="E20" i="2"/>
  <c r="E21" i="2"/>
  <c r="E22" i="2"/>
  <c r="E23" i="2"/>
  <c r="E24" i="2"/>
  <c r="E25" i="2"/>
  <c r="E26" i="2"/>
  <c r="E27" i="2"/>
  <c r="E3" i="2"/>
  <c r="L31" i="2" l="1"/>
  <c r="M31" i="2" s="1"/>
  <c r="CG30" i="2"/>
  <c r="CH30" i="2" s="1"/>
  <c r="CI4" i="2"/>
  <c r="BZ11" i="2"/>
  <c r="AE8" i="2"/>
  <c r="AW10" i="2"/>
  <c r="BQ7" i="2"/>
  <c r="BF3" i="2"/>
  <c r="AN6" i="2"/>
  <c r="AO6" i="2" s="1"/>
  <c r="BX22" i="2"/>
  <c r="BY22" i="2" s="1"/>
  <c r="BQ23" i="2"/>
  <c r="BH27" i="2"/>
  <c r="AW26" i="2"/>
  <c r="AX26" i="2" s="1"/>
  <c r="AN21" i="2"/>
  <c r="AO21" i="2" s="1"/>
  <c r="AG5" i="2"/>
  <c r="AG24" i="2"/>
  <c r="AG19" i="2"/>
  <c r="AE18" i="2"/>
  <c r="AF18" i="2" s="1"/>
  <c r="W9" i="2"/>
  <c r="X25" i="2"/>
  <c r="CP27" i="2"/>
  <c r="CP25" i="2"/>
  <c r="CP24" i="2"/>
  <c r="CP23" i="2"/>
  <c r="CP6" i="2"/>
  <c r="CP26" i="2"/>
  <c r="CP11" i="2"/>
  <c r="CP10" i="2"/>
  <c r="CP9" i="2"/>
  <c r="CP22" i="2"/>
  <c r="CP8" i="2"/>
  <c r="AP4" i="2"/>
  <c r="CP21" i="2"/>
  <c r="CP7" i="2"/>
  <c r="CP5" i="2"/>
  <c r="CP19" i="2"/>
  <c r="CP20" i="2"/>
  <c r="CP18" i="2"/>
  <c r="CP4" i="2"/>
  <c r="CP3" i="2"/>
  <c r="X8" i="2"/>
  <c r="X24" i="2"/>
  <c r="X9" i="2"/>
  <c r="AP19" i="2"/>
  <c r="AP20" i="2"/>
  <c r="BH18" i="2"/>
  <c r="CR5" i="2"/>
  <c r="CR21" i="2"/>
  <c r="AE19" i="2"/>
  <c r="AF19" i="2" s="1"/>
  <c r="AG3" i="2"/>
  <c r="BZ18" i="2"/>
  <c r="AE3" i="2"/>
  <c r="AG22" i="2"/>
  <c r="CR19" i="2"/>
  <c r="E16" i="2"/>
  <c r="CP16" i="2" s="1"/>
  <c r="E17" i="2"/>
  <c r="BX17" i="2" s="1"/>
  <c r="BY17" i="2" s="1"/>
  <c r="E15" i="2"/>
  <c r="AN15" i="2" s="1"/>
  <c r="AO15" i="2" s="1"/>
  <c r="E14" i="2"/>
  <c r="W14" i="2" s="1"/>
  <c r="E13" i="2"/>
  <c r="BQ13" i="2" s="1"/>
  <c r="X19" i="2"/>
  <c r="E28" i="2"/>
  <c r="AG28" i="2" s="1"/>
  <c r="E12" i="2"/>
  <c r="BF12" i="2" s="1"/>
  <c r="BG12" i="2" s="1"/>
  <c r="AW6" i="2"/>
  <c r="AX6" i="2" s="1"/>
  <c r="AW22" i="2"/>
  <c r="AX22" i="2" s="1"/>
  <c r="BQ4" i="2"/>
  <c r="BQ20" i="2"/>
  <c r="CG3" i="2"/>
  <c r="CG22" i="2"/>
  <c r="CH22" i="2" s="1"/>
  <c r="AG8" i="2"/>
  <c r="AW7" i="2"/>
  <c r="AX7" i="2" s="1"/>
  <c r="AW23" i="2"/>
  <c r="AX23" i="2" s="1"/>
  <c r="BO5" i="2"/>
  <c r="BP5" i="2" s="1"/>
  <c r="BO21" i="2"/>
  <c r="BP21" i="2" s="1"/>
  <c r="CG4" i="2"/>
  <c r="CH4" i="2" s="1"/>
  <c r="CG23" i="2"/>
  <c r="CH23" i="2" s="1"/>
  <c r="AG7" i="2"/>
  <c r="AN5" i="2"/>
  <c r="AO5" i="2" s="1"/>
  <c r="AW8" i="2"/>
  <c r="AX8" i="2" s="1"/>
  <c r="AW24" i="2"/>
  <c r="AX24" i="2" s="1"/>
  <c r="BO6" i="2"/>
  <c r="BP6" i="2" s="1"/>
  <c r="BO22" i="2"/>
  <c r="BP22" i="2" s="1"/>
  <c r="CG5" i="2"/>
  <c r="CH5" i="2" s="1"/>
  <c r="AN4" i="2"/>
  <c r="AO4" i="2" s="1"/>
  <c r="AP18" i="2"/>
  <c r="BO7" i="2"/>
  <c r="BP7" i="2" s="1"/>
  <c r="BO23" i="2"/>
  <c r="BP23" i="2" s="1"/>
  <c r="CG6" i="2"/>
  <c r="AE21" i="2"/>
  <c r="AF21" i="2" s="1"/>
  <c r="AE5" i="2"/>
  <c r="AF5" i="2" s="1"/>
  <c r="BX27" i="2"/>
  <c r="BY27" i="2" s="1"/>
  <c r="CG24" i="2"/>
  <c r="CH24" i="2" s="1"/>
  <c r="AG6" i="2"/>
  <c r="AG23" i="2"/>
  <c r="BH11" i="2"/>
  <c r="CI25" i="2"/>
  <c r="X26" i="2"/>
  <c r="AW25" i="2"/>
  <c r="AX25" i="2" s="1"/>
  <c r="BO8" i="2"/>
  <c r="BP8" i="2" s="1"/>
  <c r="BO24" i="2"/>
  <c r="BP24" i="2" s="1"/>
  <c r="CG7" i="2"/>
  <c r="CH7" i="2" s="1"/>
  <c r="CI26" i="2"/>
  <c r="CR4" i="2"/>
  <c r="CR20" i="2"/>
  <c r="AE20" i="2"/>
  <c r="AF20" i="2" s="1"/>
  <c r="AE4" i="2"/>
  <c r="AF4" i="2" s="1"/>
  <c r="CI22" i="2"/>
  <c r="BX11" i="2"/>
  <c r="BY11" i="2" s="1"/>
  <c r="BO25" i="2"/>
  <c r="BP25" i="2" s="1"/>
  <c r="AE9" i="2"/>
  <c r="BO20" i="2"/>
  <c r="BP20" i="2" s="1"/>
  <c r="CI9" i="2"/>
  <c r="W27" i="2"/>
  <c r="AY26" i="2"/>
  <c r="AP5" i="2"/>
  <c r="AP21" i="2"/>
  <c r="BH3" i="2"/>
  <c r="BF19" i="2"/>
  <c r="BG19" i="2" s="1"/>
  <c r="BO10" i="2"/>
  <c r="BP10" i="2" s="1"/>
  <c r="BO26" i="2"/>
  <c r="BP26" i="2" s="1"/>
  <c r="CG9" i="2"/>
  <c r="CH9" i="2" s="1"/>
  <c r="CR6" i="2"/>
  <c r="CR22" i="2"/>
  <c r="AE6" i="2"/>
  <c r="AF6" i="2" s="1"/>
  <c r="AY25" i="2"/>
  <c r="CI6" i="2"/>
  <c r="CI32" i="2" s="1" a="1"/>
  <c r="CI32" i="2" s="1"/>
  <c r="BO9" i="2"/>
  <c r="BP9" i="2" s="1"/>
  <c r="CR23" i="2"/>
  <c r="W26" i="2"/>
  <c r="AG21" i="2"/>
  <c r="AY22" i="2"/>
  <c r="BO4" i="2"/>
  <c r="BP4" i="2" s="1"/>
  <c r="AP22" i="2"/>
  <c r="AP7" i="2"/>
  <c r="AN23" i="2"/>
  <c r="BF5" i="2"/>
  <c r="BG5" i="2" s="1"/>
  <c r="BF21" i="2"/>
  <c r="BG21" i="2" s="1"/>
  <c r="BZ3" i="2"/>
  <c r="BZ19" i="2"/>
  <c r="CI11" i="2"/>
  <c r="CR8" i="2"/>
  <c r="CR24" i="2"/>
  <c r="W23" i="2"/>
  <c r="AG20" i="2"/>
  <c r="AY9" i="2"/>
  <c r="BO11" i="2"/>
  <c r="BP11" i="2" s="1"/>
  <c r="AN8" i="2"/>
  <c r="AO8" i="2" s="1"/>
  <c r="AN24" i="2"/>
  <c r="AO24" i="2" s="1"/>
  <c r="BF6" i="2"/>
  <c r="BG6" i="2" s="1"/>
  <c r="BF22" i="2"/>
  <c r="BG22" i="2" s="1"/>
  <c r="BZ4" i="2"/>
  <c r="BZ20" i="2"/>
  <c r="CR9" i="2"/>
  <c r="CR25" i="2"/>
  <c r="W20" i="2"/>
  <c r="AY6" i="2"/>
  <c r="AG26" i="2"/>
  <c r="X10" i="2"/>
  <c r="AY27" i="2"/>
  <c r="CG8" i="2"/>
  <c r="CH8" i="2" s="1"/>
  <c r="AP6" i="2"/>
  <c r="BF4" i="2"/>
  <c r="BG4" i="2" s="1"/>
  <c r="CR7" i="2"/>
  <c r="W18" i="2"/>
  <c r="AN9" i="2"/>
  <c r="AO9" i="2" s="1"/>
  <c r="AN25" i="2"/>
  <c r="AO25" i="2" s="1"/>
  <c r="BF7" i="2"/>
  <c r="BG7" i="2" s="1"/>
  <c r="BF23" i="2"/>
  <c r="BG23" i="2" s="1"/>
  <c r="BZ5" i="2"/>
  <c r="BZ21" i="2"/>
  <c r="CR10" i="2"/>
  <c r="W10" i="2"/>
  <c r="AG18" i="2"/>
  <c r="AN22" i="2"/>
  <c r="AO22" i="2" s="1"/>
  <c r="AG25" i="2"/>
  <c r="AY10" i="2"/>
  <c r="V3" i="2"/>
  <c r="V32" i="2" s="1" a="1"/>
  <c r="V32" i="2" s="1"/>
  <c r="W19" i="2"/>
  <c r="AN10" i="2"/>
  <c r="AO10" i="2" s="1"/>
  <c r="AN26" i="2"/>
  <c r="AO26" i="2" s="1"/>
  <c r="BF8" i="2"/>
  <c r="BG8" i="2" s="1"/>
  <c r="BF24" i="2"/>
  <c r="BG24" i="2" s="1"/>
  <c r="BZ6" i="2"/>
  <c r="BZ22" i="2"/>
  <c r="W7" i="2"/>
  <c r="BF20" i="2"/>
  <c r="BG20" i="2" s="1"/>
  <c r="CI10" i="2"/>
  <c r="X4" i="2"/>
  <c r="X20" i="2"/>
  <c r="AN11" i="2"/>
  <c r="AO11" i="2" s="1"/>
  <c r="AN27" i="2"/>
  <c r="AO27" i="2" s="1"/>
  <c r="AW18" i="2"/>
  <c r="AX18" i="2" s="1"/>
  <c r="BF9" i="2"/>
  <c r="BG9" i="2" s="1"/>
  <c r="BF25" i="2"/>
  <c r="BG25" i="2" s="1"/>
  <c r="BX7" i="2"/>
  <c r="BY7" i="2" s="1"/>
  <c r="BX23" i="2"/>
  <c r="BY23" i="2" s="1"/>
  <c r="CG18" i="2"/>
  <c r="CH18" i="2" s="1"/>
  <c r="W4" i="2"/>
  <c r="AN20" i="2"/>
  <c r="AO20" i="2" s="1"/>
  <c r="AW9" i="2"/>
  <c r="AX9" i="2" s="1"/>
  <c r="CG25" i="2"/>
  <c r="CH25" i="2" s="1"/>
  <c r="AY11" i="2"/>
  <c r="CI27" i="2"/>
  <c r="BO27" i="2"/>
  <c r="BP27" i="2" s="1"/>
  <c r="X5" i="2"/>
  <c r="X21" i="2"/>
  <c r="AY3" i="2"/>
  <c r="AW19" i="2"/>
  <c r="AX19" i="2" s="1"/>
  <c r="BF10" i="2"/>
  <c r="BG10" i="2" s="1"/>
  <c r="BF26" i="2"/>
  <c r="BG26" i="2" s="1"/>
  <c r="BX8" i="2"/>
  <c r="BY8" i="2" s="1"/>
  <c r="BX24" i="2"/>
  <c r="BY24" i="2" s="1"/>
  <c r="CG19" i="2"/>
  <c r="CH19" i="2" s="1"/>
  <c r="AG11" i="2"/>
  <c r="AG4" i="2"/>
  <c r="AN18" i="2"/>
  <c r="AO18" i="2" s="1"/>
  <c r="BF18" i="2"/>
  <c r="BG18" i="2" s="1"/>
  <c r="BX6" i="2"/>
  <c r="BY6" i="2" s="1"/>
  <c r="W11" i="2"/>
  <c r="X6" i="2"/>
  <c r="X22" i="2"/>
  <c r="AW4" i="2"/>
  <c r="AX4" i="2" s="1"/>
  <c r="AW20" i="2"/>
  <c r="AX20" i="2" s="1"/>
  <c r="BF11" i="2"/>
  <c r="BG11" i="2" s="1"/>
  <c r="BF27" i="2"/>
  <c r="BG27" i="2" s="1"/>
  <c r="BQ18" i="2"/>
  <c r="BX9" i="2"/>
  <c r="BY9" i="2" s="1"/>
  <c r="BX25" i="2"/>
  <c r="CG20" i="2"/>
  <c r="CH20" i="2" s="1"/>
  <c r="AG10" i="2"/>
  <c r="AP3" i="2"/>
  <c r="X7" i="2"/>
  <c r="X23" i="2"/>
  <c r="AN14" i="2"/>
  <c r="AO14" i="2" s="1"/>
  <c r="AW5" i="2"/>
  <c r="AX5" i="2" s="1"/>
  <c r="AW21" i="2"/>
  <c r="AX21" i="2" s="1"/>
  <c r="BO3" i="2"/>
  <c r="BQ19" i="2"/>
  <c r="BX10" i="2"/>
  <c r="BY10" i="2" s="1"/>
  <c r="BX26" i="2"/>
  <c r="BY26" i="2" s="1"/>
  <c r="CG21" i="2"/>
  <c r="CH21" i="2" s="1"/>
  <c r="AG9" i="2"/>
  <c r="AE25" i="2"/>
  <c r="AF25" i="2" s="1"/>
  <c r="AE22" i="2"/>
  <c r="AF22" i="2" s="1"/>
  <c r="AG27" i="2"/>
  <c r="AE24" i="2"/>
  <c r="AF24" i="2" s="1"/>
  <c r="AN7" i="2"/>
  <c r="AO7" i="2" s="1"/>
  <c r="W25" i="2"/>
  <c r="X18" i="2"/>
  <c r="AE27" i="2"/>
  <c r="AF27" i="2" s="1"/>
  <c r="AE11" i="2"/>
  <c r="AW15" i="2"/>
  <c r="AX15" i="2" s="1"/>
  <c r="AY24" i="2"/>
  <c r="AY8" i="2"/>
  <c r="BH26" i="2"/>
  <c r="BH10" i="2"/>
  <c r="BO19" i="2"/>
  <c r="BP19" i="2" s="1"/>
  <c r="BQ3" i="2"/>
  <c r="BX21" i="2"/>
  <c r="BY21" i="2" s="1"/>
  <c r="BX5" i="2"/>
  <c r="BY5" i="2" s="1"/>
  <c r="CG16" i="2"/>
  <c r="CH16" i="2" s="1"/>
  <c r="CI24" i="2"/>
  <c r="CI8" i="2"/>
  <c r="CR18" i="2"/>
  <c r="W24" i="2"/>
  <c r="W8" i="2"/>
  <c r="AE26" i="2"/>
  <c r="AF26" i="2" s="1"/>
  <c r="AE10" i="2"/>
  <c r="AF10" i="2" s="1"/>
  <c r="AN3" i="2"/>
  <c r="AW14" i="2"/>
  <c r="AX14" i="2" s="1"/>
  <c r="AY23" i="2"/>
  <c r="AY7" i="2"/>
  <c r="BH25" i="2"/>
  <c r="BH9" i="2"/>
  <c r="BO18" i="2"/>
  <c r="BP18" i="2" s="1"/>
  <c r="BQ27" i="2"/>
  <c r="BQ11" i="2"/>
  <c r="BX20" i="2"/>
  <c r="BY20" i="2" s="1"/>
  <c r="BX4" i="2"/>
  <c r="BY4" i="2" s="1"/>
  <c r="CG15" i="2"/>
  <c r="CH15" i="2" s="1"/>
  <c r="CI23" i="2"/>
  <c r="CI7" i="2"/>
  <c r="BZ15" i="2"/>
  <c r="BH24" i="2"/>
  <c r="BH8" i="2"/>
  <c r="BQ10" i="2"/>
  <c r="W22" i="2"/>
  <c r="W6" i="2"/>
  <c r="AP27" i="2"/>
  <c r="AP11" i="2"/>
  <c r="AN19" i="2"/>
  <c r="AO19" i="2" s="1"/>
  <c r="AW3" i="2"/>
  <c r="AW12" i="2"/>
  <c r="AX12" i="2" s="1"/>
  <c r="AY21" i="2"/>
  <c r="AY5" i="2"/>
  <c r="BH23" i="2"/>
  <c r="BH7" i="2"/>
  <c r="BO16" i="2"/>
  <c r="BP16" i="2" s="1"/>
  <c r="BQ25" i="2"/>
  <c r="BQ9" i="2"/>
  <c r="BX18" i="2"/>
  <c r="BY18" i="2" s="1"/>
  <c r="CI21" i="2"/>
  <c r="CI5" i="2"/>
  <c r="CR15" i="2"/>
  <c r="BQ26" i="2"/>
  <c r="W21" i="2"/>
  <c r="W5" i="2"/>
  <c r="AE23" i="2"/>
  <c r="AF23" i="2" s="1"/>
  <c r="AE7" i="2"/>
  <c r="AF7" i="2" s="1"/>
  <c r="AP26" i="2"/>
  <c r="AP10" i="2"/>
  <c r="AW27" i="2"/>
  <c r="AX27" i="2" s="1"/>
  <c r="AW11" i="2"/>
  <c r="AX11" i="2" s="1"/>
  <c r="AY20" i="2"/>
  <c r="AY4" i="2"/>
  <c r="BH22" i="2"/>
  <c r="BH6" i="2"/>
  <c r="BO15" i="2"/>
  <c r="BP15" i="2" s="1"/>
  <c r="BQ24" i="2"/>
  <c r="BQ8" i="2"/>
  <c r="CI3" i="2"/>
  <c r="CG12" i="2"/>
  <c r="CH12" i="2" s="1"/>
  <c r="CI20" i="2"/>
  <c r="BZ28" i="2"/>
  <c r="CG27" i="2"/>
  <c r="CH27" i="2" s="1"/>
  <c r="CG11" i="2"/>
  <c r="CH11" i="2" s="1"/>
  <c r="AP25" i="2"/>
  <c r="AY19" i="2"/>
  <c r="CI19" i="2"/>
  <c r="X3" i="2"/>
  <c r="AG14" i="2"/>
  <c r="AP24" i="2"/>
  <c r="AP8" i="2"/>
  <c r="AN16" i="2"/>
  <c r="AO16" i="2" s="1"/>
  <c r="AY18" i="2"/>
  <c r="BH20" i="2"/>
  <c r="BH4" i="2"/>
  <c r="BQ22" i="2"/>
  <c r="BQ6" i="2"/>
  <c r="CG26" i="2"/>
  <c r="CH26" i="2" s="1"/>
  <c r="CG10" i="2"/>
  <c r="CH10" i="2" s="1"/>
  <c r="CI18" i="2"/>
  <c r="BZ26" i="2"/>
  <c r="BZ10" i="2"/>
  <c r="CR3" i="2"/>
  <c r="CR28" i="2"/>
  <c r="CR12" i="2"/>
  <c r="X16" i="2"/>
  <c r="AP9" i="2"/>
  <c r="X27" i="2"/>
  <c r="X11" i="2"/>
  <c r="AP23" i="2"/>
  <c r="BH19" i="2"/>
  <c r="BQ21" i="2"/>
  <c r="BQ5" i="2"/>
  <c r="BZ25" i="2"/>
  <c r="BZ9" i="2"/>
  <c r="CR27" i="2"/>
  <c r="CR11" i="2"/>
  <c r="BZ27" i="2"/>
  <c r="BZ24" i="2"/>
  <c r="BZ8" i="2"/>
  <c r="CR26" i="2"/>
  <c r="BX19" i="2"/>
  <c r="BY19" i="2" s="1"/>
  <c r="BH21" i="2"/>
  <c r="BX3" i="2"/>
  <c r="BZ23" i="2"/>
  <c r="BZ7" i="2"/>
  <c r="BH5" i="2"/>
  <c r="BO14" i="2"/>
  <c r="AX10" i="2"/>
  <c r="L5" i="2"/>
  <c r="M5" i="2" s="1"/>
  <c r="N26" i="2"/>
  <c r="AF8" i="2"/>
  <c r="N23" i="2"/>
  <c r="N7" i="2"/>
  <c r="N8" i="2"/>
  <c r="N25" i="2"/>
  <c r="L4" i="2"/>
  <c r="M4" i="2" s="1"/>
  <c r="N16" i="2"/>
  <c r="N10" i="2"/>
  <c r="L26" i="2"/>
  <c r="M26" i="2" s="1"/>
  <c r="L15" i="2"/>
  <c r="M15" i="2" s="1"/>
  <c r="N24" i="2"/>
  <c r="N9" i="2"/>
  <c r="N21" i="2"/>
  <c r="N22" i="2"/>
  <c r="N27" i="2"/>
  <c r="N6" i="2"/>
  <c r="N12" i="2"/>
  <c r="N5" i="2"/>
  <c r="N11" i="2"/>
  <c r="N14" i="2"/>
  <c r="L22" i="2"/>
  <c r="M22" i="2" s="1"/>
  <c r="L21" i="2"/>
  <c r="M21" i="2" s="1"/>
  <c r="L10" i="2"/>
  <c r="L20" i="2"/>
  <c r="M20" i="2" s="1"/>
  <c r="L6" i="2"/>
  <c r="M6" i="2" s="1"/>
  <c r="N18" i="2"/>
  <c r="N15" i="2"/>
  <c r="L14" i="2"/>
  <c r="M14" i="2" s="1"/>
  <c r="N4" i="2"/>
  <c r="N19" i="2"/>
  <c r="L3" i="2"/>
  <c r="L28" i="2"/>
  <c r="L12" i="2"/>
  <c r="M12" i="2" s="1"/>
  <c r="L18" i="2"/>
  <c r="M18" i="2" s="1"/>
  <c r="L27" i="2"/>
  <c r="M27" i="2" s="1"/>
  <c r="L11" i="2"/>
  <c r="M11" i="2" s="1"/>
  <c r="L16" i="2"/>
  <c r="M16" i="2" s="1"/>
  <c r="L25" i="2"/>
  <c r="M25" i="2" s="1"/>
  <c r="L9" i="2"/>
  <c r="M9" i="2" s="1"/>
  <c r="L24" i="2"/>
  <c r="M24" i="2" s="1"/>
  <c r="L8" i="2"/>
  <c r="M8" i="2" s="1"/>
  <c r="N20" i="2"/>
  <c r="L19" i="2"/>
  <c r="M19" i="2" s="1"/>
  <c r="L23" i="2"/>
  <c r="M23" i="2" s="1"/>
  <c r="L7" i="2"/>
  <c r="M7" i="2" s="1"/>
  <c r="N3" i="2"/>
  <c r="M3" i="2" l="1"/>
  <c r="AO23" i="2"/>
  <c r="AF9" i="2"/>
  <c r="M28" i="2"/>
  <c r="CH6" i="2"/>
  <c r="CH32" i="2" s="1"/>
  <c r="BP14" i="2"/>
  <c r="BY25" i="2"/>
  <c r="X12" i="2"/>
  <c r="X32" i="2" s="1" a="1"/>
  <c r="X32" i="2" s="1"/>
  <c r="CI16" i="2"/>
  <c r="AG16" i="2"/>
  <c r="BZ12" i="2"/>
  <c r="BZ32" i="2" s="1" a="1"/>
  <c r="BZ32" i="2" s="1"/>
  <c r="W3" i="2"/>
  <c r="W32" i="2" s="1"/>
  <c r="CH3" i="2"/>
  <c r="CQ3" i="2"/>
  <c r="M10" i="2"/>
  <c r="AF11" i="2"/>
  <c r="CR14" i="2"/>
  <c r="BF14" i="2"/>
  <c r="CI12" i="2"/>
  <c r="CG28" i="2"/>
  <c r="CH28" i="2" s="1"/>
  <c r="AW28" i="2"/>
  <c r="AX28" i="2" s="1"/>
  <c r="BO12" i="2"/>
  <c r="BP12" i="2" s="1"/>
  <c r="AP12" i="2"/>
  <c r="AP32" i="2" s="1" a="1"/>
  <c r="AP32" i="2" s="1"/>
  <c r="BQ12" i="2"/>
  <c r="X28" i="2"/>
  <c r="BQ28" i="2"/>
  <c r="AE12" i="2"/>
  <c r="AF12" i="2" s="1"/>
  <c r="BX12" i="2"/>
  <c r="BY12" i="2" s="1"/>
  <c r="N28" i="2"/>
  <c r="N32" i="2" s="1" a="1"/>
  <c r="N32" i="2" s="1"/>
  <c r="CP17" i="2"/>
  <c r="CR13" i="2"/>
  <c r="AP13" i="2"/>
  <c r="BF13" i="2"/>
  <c r="BG13" i="2" s="1"/>
  <c r="AG13" i="2"/>
  <c r="CP28" i="2"/>
  <c r="BZ13" i="2"/>
  <c r="N13" i="2"/>
  <c r="BO28" i="2"/>
  <c r="BP28" i="2" s="1"/>
  <c r="CP13" i="2"/>
  <c r="X13" i="2"/>
  <c r="CG13" i="2"/>
  <c r="CH13" i="2" s="1"/>
  <c r="BX28" i="2"/>
  <c r="BY28" i="2" s="1"/>
  <c r="AW13" i="2"/>
  <c r="AX13" i="2" s="1"/>
  <c r="L13" i="2"/>
  <c r="M13" i="2" s="1"/>
  <c r="AE28" i="2"/>
  <c r="AF28" i="2" s="1"/>
  <c r="CP14" i="2"/>
  <c r="CP12" i="2"/>
  <c r="CI15" i="2"/>
  <c r="CP15" i="2"/>
  <c r="BQ14" i="2"/>
  <c r="BQ16" i="2"/>
  <c r="W15" i="2"/>
  <c r="AY14" i="2"/>
  <c r="CI14" i="2"/>
  <c r="AY16" i="2"/>
  <c r="AE13" i="2"/>
  <c r="AF13" i="2" s="1"/>
  <c r="AN13" i="2"/>
  <c r="AO13" i="2" s="1"/>
  <c r="BO13" i="2"/>
  <c r="BP13" i="2" s="1"/>
  <c r="CI13" i="2"/>
  <c r="AY13" i="2"/>
  <c r="BQ15" i="2"/>
  <c r="BX14" i="2"/>
  <c r="BY14" i="2" s="1"/>
  <c r="BH14" i="2"/>
  <c r="BH15" i="2"/>
  <c r="AE14" i="2"/>
  <c r="AF14" i="2" s="1"/>
  <c r="AY15" i="2"/>
  <c r="AE15" i="2"/>
  <c r="AF15" i="2" s="1"/>
  <c r="BX15" i="2"/>
  <c r="BY15" i="2" s="1"/>
  <c r="AG15" i="2"/>
  <c r="BH16" i="2"/>
  <c r="CR17" i="2"/>
  <c r="AY17" i="2"/>
  <c r="BF28" i="2"/>
  <c r="BG28" i="2" s="1"/>
  <c r="AP28" i="2"/>
  <c r="BH17" i="2"/>
  <c r="N17" i="2"/>
  <c r="X17" i="2"/>
  <c r="BQ17" i="2"/>
  <c r="BZ17" i="2"/>
  <c r="BF16" i="2"/>
  <c r="BG16" i="2" s="1"/>
  <c r="CR16" i="2"/>
  <c r="AW16" i="2"/>
  <c r="AX16" i="2" s="1"/>
  <c r="L17" i="2"/>
  <c r="M17" i="2" s="1"/>
  <c r="W28" i="2"/>
  <c r="AG17" i="2"/>
  <c r="BX16" i="2"/>
  <c r="BY16" i="2" s="1"/>
  <c r="AW17" i="2"/>
  <c r="AX17" i="2" s="1"/>
  <c r="AE16" i="2"/>
  <c r="AF16" i="2" s="1"/>
  <c r="W13" i="2"/>
  <c r="AP17" i="2"/>
  <c r="AN17" i="2"/>
  <c r="AO17" i="2" s="1"/>
  <c r="BH13" i="2"/>
  <c r="AN28" i="2"/>
  <c r="AO28" i="2" s="1"/>
  <c r="AN12" i="2"/>
  <c r="AO12" i="2" s="1"/>
  <c r="AG12" i="2"/>
  <c r="W16" i="2"/>
  <c r="BO17" i="2"/>
  <c r="BP17" i="2" s="1"/>
  <c r="AY28" i="2"/>
  <c r="AE17" i="2"/>
  <c r="AF17" i="2" s="1"/>
  <c r="BF17" i="2"/>
  <c r="BG17" i="2" s="1"/>
  <c r="BH28" i="2"/>
  <c r="W17" i="2"/>
  <c r="AY12" i="2"/>
  <c r="AY32" i="2" s="1" a="1"/>
  <c r="AY32" i="2" s="1"/>
  <c r="W12" i="2"/>
  <c r="BH12" i="2"/>
  <c r="CI17" i="2"/>
  <c r="AP16" i="2"/>
  <c r="CG17" i="2"/>
  <c r="CH17" i="2" s="1"/>
  <c r="BX13" i="2"/>
  <c r="BY13" i="2" s="1"/>
  <c r="BZ14" i="2"/>
  <c r="AP14" i="2"/>
  <c r="X14" i="2"/>
  <c r="CG14" i="2"/>
  <c r="CH14" i="2" s="1"/>
  <c r="BZ16" i="2"/>
  <c r="CI28" i="2"/>
  <c r="BF15" i="2"/>
  <c r="BG15" i="2" s="1"/>
  <c r="AP15" i="2"/>
  <c r="X15" i="2"/>
  <c r="BY3" i="2"/>
  <c r="BP3" i="2"/>
  <c r="BG3" i="2"/>
  <c r="AX3" i="2"/>
  <c r="AX32" i="2" s="1"/>
  <c r="AO3" i="2"/>
  <c r="AF3" i="2"/>
  <c r="BY32" i="2" l="1"/>
  <c r="BX32" i="2" a="1"/>
  <c r="BX32" i="2" s="1"/>
  <c r="BQ32" i="2" a="1"/>
  <c r="BQ32" i="2" s="1"/>
  <c r="BP32" i="2"/>
  <c r="BO32" i="2" a="1"/>
  <c r="BO32" i="2" s="1"/>
  <c r="AW32" i="2" a="1"/>
  <c r="AW32" i="2" s="1"/>
  <c r="AO32" i="2"/>
  <c r="AN32" i="2" a="1"/>
  <c r="AN32" i="2" s="1"/>
  <c r="AG32" i="2" a="1"/>
  <c r="AG32" i="2" s="1"/>
  <c r="AE32" i="2" a="1"/>
  <c r="AE32" i="2" s="1"/>
  <c r="M32" i="2"/>
  <c r="L32" i="2" a="1"/>
  <c r="L32" i="2" s="1"/>
  <c r="BH32" i="2" a="1"/>
  <c r="BH32" i="2" s="1"/>
  <c r="BF32" i="2" a="1"/>
  <c r="BF32" i="2" s="1"/>
  <c r="BG14" i="2"/>
  <c r="BG32" i="2" s="1"/>
  <c r="AF32" i="2"/>
  <c r="CR32" i="2" a="1"/>
  <c r="CR3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<sst xmlns="http://schemas.openxmlformats.org/spreadsheetml/2006/main" count="125" uniqueCount="22">
  <si>
    <t>树木位置-X</t>
    <phoneticPr fontId="1" type="noConversion"/>
  </si>
  <si>
    <t>树木位置-Y</t>
    <phoneticPr fontId="1" type="noConversion"/>
  </si>
  <si>
    <t>树木-ID</t>
    <phoneticPr fontId="1" type="noConversion"/>
  </si>
  <si>
    <t>树木-DBH</t>
    <phoneticPr fontId="1" type="noConversion"/>
  </si>
  <si>
    <t>1米合并距离</t>
    <phoneticPr fontId="1" type="noConversion"/>
  </si>
  <si>
    <t>2米合并距离</t>
    <phoneticPr fontId="1" type="noConversion"/>
  </si>
  <si>
    <t>3米合并距离</t>
    <phoneticPr fontId="1" type="noConversion"/>
  </si>
  <si>
    <t>4米合并距离</t>
    <phoneticPr fontId="1" type="noConversion"/>
  </si>
  <si>
    <t>5米合并距离</t>
    <phoneticPr fontId="1" type="noConversion"/>
  </si>
  <si>
    <t>6米合并距离</t>
    <phoneticPr fontId="1" type="noConversion"/>
  </si>
  <si>
    <t>7米合并距离</t>
    <phoneticPr fontId="1" type="noConversion"/>
  </si>
  <si>
    <t>8米合并距离</t>
    <phoneticPr fontId="1" type="noConversion"/>
  </si>
  <si>
    <t>9米合并距离</t>
    <phoneticPr fontId="1" type="noConversion"/>
  </si>
  <si>
    <t>10米合并距离</t>
    <phoneticPr fontId="1" type="noConversion"/>
  </si>
  <si>
    <t>参考值</t>
    <phoneticPr fontId="1" type="noConversion"/>
  </si>
  <si>
    <t>Xi-Xir</t>
    <phoneticPr fontId="1" type="noConversion"/>
  </si>
  <si>
    <t>(Xi-Xir)*(Xi-Xir)</t>
    <phoneticPr fontId="1" type="noConversion"/>
  </si>
  <si>
    <t>(Xi/Xir)-1</t>
    <phoneticPr fontId="1" type="noConversion"/>
  </si>
  <si>
    <t>树木-DBH-厘米</t>
    <phoneticPr fontId="1" type="noConversion"/>
  </si>
  <si>
    <t>偏差Rmese</t>
    <phoneticPr fontId="1" type="noConversion"/>
  </si>
  <si>
    <t>相对偏差Brel</t>
    <phoneticPr fontId="1" type="noConversion"/>
  </si>
  <si>
    <t>误差Bias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</si>
</sst>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7A61F-597C-4B3A-9406-95E3B8B63C3F}">
  <dimension ref="A1:CR46"/>
  <sheetViews>
    <sheetView tabSelected="1" topLeftCell="A10" workbookViewId="0">
      <selection activeCell="T37" sqref="T37:T46"/>
    </sheetView>
  </sheetViews>
  <sheetFormatPr defaultRowHeight="14" x14ac:dyDescent="0.3"/>
  <cols>
    <col min="13" max="14" width="16.4140625" customWidth="1"/>
  </cols>
  <sheetData>
    <row r="1" spans="1:96" x14ac:dyDescent="0.3">
      <c r="A1" s="3" t="s">
        <v>14</v>
      </c>
      <c r="B1" s="3"/>
      <c r="C1" s="3"/>
      <c r="D1" s="3"/>
      <c r="G1" s="3" t="s">
        <v>4</v>
      </c>
      <c r="H1" s="3"/>
      <c r="I1" s="3"/>
      <c r="J1" s="3"/>
      <c r="L1" s="2" t="s">
        <v>21</v>
      </c>
      <c r="M1" s="1" t="s">
        <v>19</v>
      </c>
      <c r="N1" s="1" t="s">
        <v>20</v>
      </c>
      <c r="Q1" s="3" t="s">
        <v>5</v>
      </c>
      <c r="R1" s="3"/>
      <c r="S1" s="3"/>
      <c r="T1" s="3"/>
      <c r="V1" s="2" t="s">
        <v>21</v>
      </c>
      <c r="W1" s="1" t="s">
        <v>19</v>
      </c>
      <c r="X1" s="1" t="s">
        <v>20</v>
      </c>
      <c r="Z1" s="3" t="s">
        <v>6</v>
      </c>
      <c r="AA1" s="3"/>
      <c r="AB1" s="3"/>
      <c r="AC1" s="3"/>
      <c r="AE1" s="2" t="s">
        <v>21</v>
      </c>
      <c r="AF1" s="1" t="s">
        <v>19</v>
      </c>
      <c r="AG1" s="1" t="s">
        <v>20</v>
      </c>
      <c r="AI1" s="3" t="s">
        <v>7</v>
      </c>
      <c r="AJ1" s="3"/>
      <c r="AK1" s="3"/>
      <c r="AL1" s="3"/>
      <c r="AN1" s="2" t="s">
        <v>21</v>
      </c>
      <c r="AO1" s="1" t="s">
        <v>19</v>
      </c>
      <c r="AP1" s="1" t="s">
        <v>20</v>
      </c>
      <c r="AR1" s="3" t="s">
        <v>8</v>
      </c>
      <c r="AS1" s="3"/>
      <c r="AT1" s="3"/>
      <c r="AU1" s="3"/>
      <c r="AW1" s="2" t="s">
        <v>21</v>
      </c>
      <c r="AX1" s="1" t="s">
        <v>19</v>
      </c>
      <c r="AY1" s="1" t="s">
        <v>20</v>
      </c>
      <c r="BA1" s="3" t="s">
        <v>9</v>
      </c>
      <c r="BB1" s="3"/>
      <c r="BC1" s="3"/>
      <c r="BD1" s="3"/>
      <c r="BF1" s="2" t="s">
        <v>21</v>
      </c>
      <c r="BG1" s="1" t="s">
        <v>19</v>
      </c>
      <c r="BH1" s="1" t="s">
        <v>20</v>
      </c>
      <c r="BJ1" s="3" t="s">
        <v>10</v>
      </c>
      <c r="BK1" s="3"/>
      <c r="BL1" s="3"/>
      <c r="BM1" s="3"/>
      <c r="BO1" s="2" t="s">
        <v>21</v>
      </c>
      <c r="BP1" s="1" t="s">
        <v>19</v>
      </c>
      <c r="BQ1" s="1" t="s">
        <v>20</v>
      </c>
      <c r="BS1" s="3" t="s">
        <v>11</v>
      </c>
      <c r="BT1" s="3"/>
      <c r="BU1" s="3"/>
      <c r="BV1" s="3"/>
      <c r="BX1" s="2" t="s">
        <v>21</v>
      </c>
      <c r="BY1" s="1" t="s">
        <v>19</v>
      </c>
      <c r="BZ1" s="1" t="s">
        <v>20</v>
      </c>
      <c r="CB1" s="3" t="s">
        <v>12</v>
      </c>
      <c r="CC1" s="3"/>
      <c r="CD1" s="3"/>
      <c r="CE1" s="3"/>
      <c r="CG1" s="2" t="s">
        <v>21</v>
      </c>
      <c r="CH1" s="1" t="s">
        <v>19</v>
      </c>
      <c r="CI1" s="1" t="s">
        <v>20</v>
      </c>
      <c r="CK1" s="3" t="s">
        <v>13</v>
      </c>
      <c r="CL1" s="3"/>
      <c r="CM1" s="3"/>
      <c r="CN1" s="3"/>
      <c r="CP1" s="2" t="s">
        <v>21</v>
      </c>
      <c r="CQ1" s="1" t="s">
        <v>19</v>
      </c>
      <c r="CR1" s="1" t="s">
        <v>20</v>
      </c>
    </row>
    <row r="2" spans="1:96" x14ac:dyDescent="0.3">
      <c r="A2" t="s">
        <v>0</v>
      </c>
      <c r="B2" t="s">
        <v>1</v>
      </c>
      <c r="C2" t="s">
        <v>2</v>
      </c>
      <c r="D2" t="s">
        <v>3</v>
      </c>
      <c r="G2" t="s">
        <v>2</v>
      </c>
      <c r="H2" t="s">
        <v>0</v>
      </c>
      <c r="I2" t="s">
        <v>1</v>
      </c>
      <c r="J2" t="s">
        <v>3</v>
      </c>
      <c r="K2" t="s">
        <v>18</v>
      </c>
      <c r="L2" s="1" t="s">
        <v>15</v>
      </c>
      <c r="M2" s="1" t="s">
        <v>16</v>
      </c>
      <c r="N2" s="1" t="s">
        <v>17</v>
      </c>
      <c r="Q2" t="s">
        <v>2</v>
      </c>
      <c r="R2" t="s">
        <v>0</v>
      </c>
      <c r="S2" t="s">
        <v>1</v>
      </c>
      <c r="T2" t="s">
        <v>3</v>
      </c>
      <c r="U2" t="s">
        <v>18</v>
      </c>
      <c r="V2" s="1" t="s">
        <v>15</v>
      </c>
      <c r="W2" s="1" t="s">
        <v>16</v>
      </c>
      <c r="X2" s="1" t="s">
        <v>17</v>
      </c>
      <c r="Z2" t="s">
        <v>2</v>
      </c>
      <c r="AA2" t="s">
        <v>0</v>
      </c>
      <c r="AB2" t="s">
        <v>1</v>
      </c>
      <c r="AC2" t="s">
        <v>3</v>
      </c>
      <c r="AD2" t="s">
        <v>18</v>
      </c>
      <c r="AE2" s="1" t="s">
        <v>15</v>
      </c>
      <c r="AF2" s="1" t="s">
        <v>16</v>
      </c>
      <c r="AG2" s="1" t="s">
        <v>17</v>
      </c>
      <c r="AI2" t="s">
        <v>2</v>
      </c>
      <c r="AJ2" t="s">
        <v>0</v>
      </c>
      <c r="AK2" t="s">
        <v>1</v>
      </c>
      <c r="AL2" t="s">
        <v>3</v>
      </c>
      <c r="AM2" t="s">
        <v>18</v>
      </c>
      <c r="AN2" s="1" t="s">
        <v>15</v>
      </c>
      <c r="AO2" s="1" t="s">
        <v>16</v>
      </c>
      <c r="AP2" s="1" t="s">
        <v>17</v>
      </c>
      <c r="AR2" t="s">
        <v>2</v>
      </c>
      <c r="AS2" t="s">
        <v>0</v>
      </c>
      <c r="AT2" t="s">
        <v>1</v>
      </c>
      <c r="AU2" t="s">
        <v>3</v>
      </c>
      <c r="AV2" t="s">
        <v>18</v>
      </c>
      <c r="AW2" s="1" t="s">
        <v>15</v>
      </c>
      <c r="AX2" s="1" t="s">
        <v>16</v>
      </c>
      <c r="AY2" s="1" t="s">
        <v>17</v>
      </c>
      <c r="BA2" t="s">
        <v>2</v>
      </c>
      <c r="BB2" t="s">
        <v>0</v>
      </c>
      <c r="BC2" t="s">
        <v>1</v>
      </c>
      <c r="BD2" t="s">
        <v>3</v>
      </c>
      <c r="BE2" t="s">
        <v>18</v>
      </c>
      <c r="BF2" s="1" t="s">
        <v>15</v>
      </c>
      <c r="BG2" s="1" t="s">
        <v>16</v>
      </c>
      <c r="BH2" s="1" t="s">
        <v>17</v>
      </c>
      <c r="BJ2" t="s">
        <v>2</v>
      </c>
      <c r="BK2" t="s">
        <v>0</v>
      </c>
      <c r="BL2" t="s">
        <v>1</v>
      </c>
      <c r="BM2" t="s">
        <v>3</v>
      </c>
      <c r="BN2" t="s">
        <v>18</v>
      </c>
      <c r="BO2" s="1" t="s">
        <v>15</v>
      </c>
      <c r="BP2" s="1" t="s">
        <v>16</v>
      </c>
      <c r="BQ2" s="1" t="s">
        <v>17</v>
      </c>
      <c r="BS2" t="s">
        <v>2</v>
      </c>
      <c r="BT2" t="s">
        <v>0</v>
      </c>
      <c r="BU2" t="s">
        <v>1</v>
      </c>
      <c r="BV2" t="s">
        <v>3</v>
      </c>
      <c r="BW2" t="s">
        <v>18</v>
      </c>
      <c r="BX2" s="1" t="s">
        <v>15</v>
      </c>
      <c r="BY2" s="1" t="s">
        <v>16</v>
      </c>
      <c r="BZ2" s="1" t="s">
        <v>17</v>
      </c>
      <c r="CB2" t="s">
        <v>2</v>
      </c>
      <c r="CC2" t="s">
        <v>0</v>
      </c>
      <c r="CD2" t="s">
        <v>1</v>
      </c>
      <c r="CE2" t="s">
        <v>3</v>
      </c>
      <c r="CF2" t="s">
        <v>18</v>
      </c>
      <c r="CG2" s="1" t="s">
        <v>15</v>
      </c>
      <c r="CH2" s="1" t="s">
        <v>16</v>
      </c>
      <c r="CI2" s="1" t="s">
        <v>17</v>
      </c>
      <c r="CK2" t="s">
        <v>2</v>
      </c>
      <c r="CL2" t="s">
        <v>0</v>
      </c>
      <c r="CM2" t="s">
        <v>1</v>
      </c>
      <c r="CN2" t="s">
        <v>3</v>
      </c>
      <c r="CO2" t="s">
        <v>18</v>
      </c>
      <c r="CP2" s="1" t="s">
        <v>15</v>
      </c>
      <c r="CQ2" s="1" t="s">
        <v>16</v>
      </c>
      <c r="CR2" s="1" t="s">
        <v>17</v>
      </c>
    </row>
    <row r="3" spans="1:96" x14ac:dyDescent="0.3">
      <c r="A3">
        <v>5.968</v>
      </c>
      <c r="B3">
        <v>-12.14</v>
      </c>
      <c r="C3">
        <v>1</v>
      </c>
      <c r="D3">
        <v>0.247</v>
      </c>
      <c r="E3">
        <f>D3*100</f>
        <v>24.7</v>
      </c>
      <c r="G3">
        <v>1</v>
      </c>
      <c r="H3">
        <v>5.6417599999999997</v>
      </c>
      <c r="I3">
        <v>-12.29344</v>
      </c>
      <c r="J3">
        <v>0.252</v>
      </c>
      <c r="K3">
        <v>23.7</v>
      </c>
      <c r="L3" s="1">
        <f>K3-E3</f>
        <v>-1</v>
      </c>
      <c r="M3" s="1">
        <f>L3*L3</f>
        <v>1</v>
      </c>
      <c r="N3" s="1">
        <f>K3/E3-1</f>
        <v>-4.0485829959514219E-2</v>
      </c>
      <c r="Q3">
        <v>1</v>
      </c>
      <c r="R3">
        <v>6.0510000000000002</v>
      </c>
      <c r="S3">
        <v>-12.162000000000001</v>
      </c>
      <c r="T3">
        <v>0.251</v>
      </c>
      <c r="U3">
        <v>26.1</v>
      </c>
      <c r="V3" s="1">
        <f>U3-E3</f>
        <v>1.4000000000000021</v>
      </c>
      <c r="W3" s="1">
        <f>V3*V3</f>
        <v>1.960000000000006</v>
      </c>
      <c r="X3" s="1">
        <f>U3/E3-1</f>
        <v>5.6680161943319929E-2</v>
      </c>
      <c r="Z3">
        <v>1</v>
      </c>
      <c r="AA3">
        <v>6.024</v>
      </c>
      <c r="AB3">
        <v>-12.191000000000001</v>
      </c>
      <c r="AC3">
        <v>0.26100000000000001</v>
      </c>
      <c r="AD3">
        <v>25.1</v>
      </c>
      <c r="AE3" s="1">
        <f>AD3-E3</f>
        <v>0.40000000000000213</v>
      </c>
      <c r="AF3" s="1">
        <f>AE3*AE3</f>
        <v>0.1600000000000017</v>
      </c>
      <c r="AG3" s="1">
        <f>AD3/E3-1</f>
        <v>1.6194331983805821E-2</v>
      </c>
      <c r="AI3">
        <v>1</v>
      </c>
      <c r="AJ3">
        <v>5.9039999999999999</v>
      </c>
      <c r="AK3">
        <v>-12.247999999999999</v>
      </c>
      <c r="AL3">
        <v>0.24299999999999999</v>
      </c>
      <c r="AM3">
        <v>24.3</v>
      </c>
      <c r="AN3" s="1">
        <f>AM3-E3</f>
        <v>-0.39999999999999858</v>
      </c>
      <c r="AO3" s="1">
        <f>AN3*AN3</f>
        <v>0.15999999999999887</v>
      </c>
      <c r="AP3" s="1">
        <f>AM3/E3-1</f>
        <v>-1.6194331983805599E-2</v>
      </c>
      <c r="AR3">
        <v>1</v>
      </c>
      <c r="AS3">
        <v>6.0759999999999996</v>
      </c>
      <c r="AT3">
        <v>-12.17</v>
      </c>
      <c r="AU3">
        <v>0.23699999999999999</v>
      </c>
      <c r="AV3">
        <v>25.2</v>
      </c>
      <c r="AW3" s="1">
        <f>AV3-E3</f>
        <v>0.5</v>
      </c>
      <c r="AX3" s="1">
        <f>AW3*AW3</f>
        <v>0.25</v>
      </c>
      <c r="AY3" s="1">
        <f>AV3/E3-1</f>
        <v>2.0242914979757165E-2</v>
      </c>
      <c r="BA3">
        <v>1</v>
      </c>
      <c r="BB3">
        <v>6.0279999999999996</v>
      </c>
      <c r="BC3">
        <v>-12.083</v>
      </c>
      <c r="BD3">
        <v>0.245</v>
      </c>
      <c r="BE3">
        <v>24.5</v>
      </c>
      <c r="BF3" s="1">
        <f>BE3-E3</f>
        <v>-0.19999999999999929</v>
      </c>
      <c r="BG3" s="1">
        <f>BF3*BF3</f>
        <v>3.9999999999999716E-2</v>
      </c>
      <c r="BH3" s="1">
        <f>BE3/E3-1</f>
        <v>-8.0971659919027994E-3</v>
      </c>
      <c r="BJ3">
        <v>1</v>
      </c>
      <c r="BK3">
        <v>6.9909999999999997</v>
      </c>
      <c r="BL3">
        <v>-7.08</v>
      </c>
      <c r="BM3">
        <v>0.224</v>
      </c>
      <c r="BN3">
        <v>22.4</v>
      </c>
      <c r="BO3" s="1">
        <f>BN3-E3</f>
        <v>-2.3000000000000007</v>
      </c>
      <c r="BP3" s="1">
        <f>BO3*BO3</f>
        <v>5.2900000000000036</v>
      </c>
      <c r="BQ3" s="1">
        <f>BN3/E3-1</f>
        <v>-9.3117408906882582E-2</v>
      </c>
      <c r="BS3">
        <v>1</v>
      </c>
      <c r="BT3">
        <v>5.8929999999999998</v>
      </c>
      <c r="BU3">
        <v>-12.23</v>
      </c>
      <c r="BV3">
        <v>0.26800000000000002</v>
      </c>
      <c r="BW3">
        <f t="shared" ref="BW3:BW31" si="0">BV3*100</f>
        <v>26.8</v>
      </c>
      <c r="BX3" s="1">
        <f>BW3-E3</f>
        <v>2.1000000000000014</v>
      </c>
      <c r="BY3" s="1">
        <f>BX3*BX3</f>
        <v>4.4100000000000064</v>
      </c>
      <c r="BZ3" s="1">
        <f>BW3/E3-1</f>
        <v>8.5020242914979782E-2</v>
      </c>
      <c r="CB3">
        <v>1</v>
      </c>
      <c r="CC3">
        <v>5.9969999999999999</v>
      </c>
      <c r="CD3">
        <v>-12.18</v>
      </c>
      <c r="CE3">
        <v>0.224</v>
      </c>
      <c r="CF3">
        <f t="shared" ref="CF3:CF31" si="1">CE3*100</f>
        <v>22.400000000000002</v>
      </c>
      <c r="CG3" s="1">
        <f>CF3-E3</f>
        <v>-2.2999999999999972</v>
      </c>
      <c r="CH3" s="1">
        <f>CG3*CG3</f>
        <v>5.2899999999999867</v>
      </c>
      <c r="CI3" s="1">
        <f>CF3/E3-1</f>
        <v>-9.3117408906882471E-2</v>
      </c>
      <c r="CK3">
        <v>1</v>
      </c>
      <c r="CL3">
        <v>6.0890000000000004</v>
      </c>
      <c r="CM3">
        <v>-12.114000000000001</v>
      </c>
      <c r="CN3">
        <v>0.247</v>
      </c>
      <c r="CO3">
        <f t="shared" ref="CO3:CO31" si="2">CN3*100</f>
        <v>24.7</v>
      </c>
      <c r="CP3" s="1">
        <f>CO3-E3</f>
        <v>0</v>
      </c>
      <c r="CQ3" s="1">
        <f>CP3*CP3</f>
        <v>0</v>
      </c>
      <c r="CR3" s="1">
        <f>CO3/E3-1</f>
        <v>0</v>
      </c>
    </row>
    <row r="4" spans="1:96" x14ac:dyDescent="0.3">
      <c r="A4">
        <v>7.0730000000000004</v>
      </c>
      <c r="B4">
        <v>-7.02</v>
      </c>
      <c r="C4">
        <v>2</v>
      </c>
      <c r="D4">
        <v>0.216</v>
      </c>
      <c r="E4">
        <f t="shared" ref="E4:E31" si="3">D4*100</f>
        <v>21.6</v>
      </c>
      <c r="G4">
        <v>2</v>
      </c>
      <c r="H4">
        <v>6.9979100000000001</v>
      </c>
      <c r="I4">
        <v>-7.0671900000000001</v>
      </c>
      <c r="J4">
        <v>0.24199999999999999</v>
      </c>
      <c r="K4">
        <v>24.8</v>
      </c>
      <c r="L4" s="1">
        <f t="shared" ref="L4:L31" si="4">K4-E4</f>
        <v>3.1999999999999993</v>
      </c>
      <c r="M4" s="1">
        <f t="shared" ref="M4:M31" si="5">L4*L4</f>
        <v>10.239999999999995</v>
      </c>
      <c r="N4" s="1">
        <f t="shared" ref="N4:N31" si="6">K4/E4-1</f>
        <v>0.14814814814814814</v>
      </c>
      <c r="Q4">
        <v>2</v>
      </c>
      <c r="R4">
        <v>7.0819999999999999</v>
      </c>
      <c r="S4">
        <v>-6.9989999999999997</v>
      </c>
      <c r="T4">
        <v>0.251</v>
      </c>
      <c r="U4">
        <v>23.9</v>
      </c>
      <c r="V4" s="1">
        <f t="shared" ref="V4:V31" si="7">U4-E4</f>
        <v>2.2999999999999972</v>
      </c>
      <c r="W4" s="1">
        <f t="shared" ref="W4:W31" si="8">V4*V4</f>
        <v>5.2899999999999867</v>
      </c>
      <c r="X4" s="1">
        <f t="shared" ref="X4:X31" si="9">U4/E4-1</f>
        <v>0.1064814814814814</v>
      </c>
      <c r="Z4">
        <v>2</v>
      </c>
      <c r="AA4">
        <v>7.0659999999999998</v>
      </c>
      <c r="AB4">
        <v>-7.0350000000000001</v>
      </c>
      <c r="AC4">
        <v>0.23899999999999999</v>
      </c>
      <c r="AD4">
        <v>25.1</v>
      </c>
      <c r="AE4" s="1">
        <f t="shared" ref="AE4:AE31" si="10">AD4-E4</f>
        <v>3.5</v>
      </c>
      <c r="AF4" s="1">
        <f t="shared" ref="AF4:AF30" si="11">AE4*AE4</f>
        <v>12.25</v>
      </c>
      <c r="AG4" s="1">
        <f t="shared" ref="AG4:AG31" si="12">AD4/E4-1</f>
        <v>0.16203703703703698</v>
      </c>
      <c r="AI4">
        <v>2</v>
      </c>
      <c r="AJ4">
        <v>7.008</v>
      </c>
      <c r="AK4">
        <v>-7.0960000000000001</v>
      </c>
      <c r="AL4">
        <v>0.22900000000000001</v>
      </c>
      <c r="AM4">
        <v>22.9</v>
      </c>
      <c r="AN4" s="1">
        <f t="shared" ref="AN4:AN31" si="13">AM4-E4</f>
        <v>1.2999999999999972</v>
      </c>
      <c r="AO4" s="1">
        <f t="shared" ref="AO4:AO31" si="14">AN4*AN4</f>
        <v>1.6899999999999926</v>
      </c>
      <c r="AP4" s="1">
        <f t="shared" ref="AP4:AP31" si="15">AM4/E4-1</f>
        <v>6.0185185185185119E-2</v>
      </c>
      <c r="AR4">
        <v>2</v>
      </c>
      <c r="AS4">
        <v>7.0890000000000004</v>
      </c>
      <c r="AT4">
        <v>-6.9989999999999997</v>
      </c>
      <c r="AU4">
        <v>0.248</v>
      </c>
      <c r="AV4">
        <v>24.2</v>
      </c>
      <c r="AW4" s="1">
        <f t="shared" ref="AW4:AW31" si="16">AV4-E4</f>
        <v>2.5999999999999979</v>
      </c>
      <c r="AX4" s="1">
        <f t="shared" ref="AX4:AX31" si="17">AW4*AW4</f>
        <v>6.7599999999999891</v>
      </c>
      <c r="AY4" s="1">
        <f t="shared" ref="AY4:AY31" si="18">AV4/E4-1</f>
        <v>0.12037037037037024</v>
      </c>
      <c r="BA4">
        <v>2</v>
      </c>
      <c r="BB4">
        <v>7.0640000000000001</v>
      </c>
      <c r="BC4">
        <v>-6.9420000000000002</v>
      </c>
      <c r="BD4">
        <v>0.23100000000000001</v>
      </c>
      <c r="BE4">
        <v>23.1</v>
      </c>
      <c r="BF4" s="1">
        <f t="shared" ref="BF4:BF31" si="19">BE4-E4</f>
        <v>1.5</v>
      </c>
      <c r="BG4" s="1">
        <f t="shared" ref="BG4:BG31" si="20">BF4*BF4</f>
        <v>2.25</v>
      </c>
      <c r="BH4" s="1">
        <f t="shared" ref="BH4:BH31" si="21">BE4/E4-1</f>
        <v>6.944444444444442E-2</v>
      </c>
      <c r="BJ4">
        <v>2</v>
      </c>
      <c r="BK4">
        <v>5.9139999999999997</v>
      </c>
      <c r="BL4">
        <v>-12.194000000000001</v>
      </c>
      <c r="BM4">
        <v>0.19600000000000001</v>
      </c>
      <c r="BN4">
        <v>19.600000000000001</v>
      </c>
      <c r="BO4" s="1">
        <f t="shared" ref="BO4:BO31" si="22">BN4-E4</f>
        <v>-2</v>
      </c>
      <c r="BP4" s="1">
        <f t="shared" ref="BP4:BP31" si="23">BO4*BO4</f>
        <v>4</v>
      </c>
      <c r="BQ4" s="1">
        <f t="shared" ref="BQ4:BQ31" si="24">BN4/E4-1</f>
        <v>-9.259259259259256E-2</v>
      </c>
      <c r="BS4">
        <v>2</v>
      </c>
      <c r="BT4">
        <v>6.99</v>
      </c>
      <c r="BU4">
        <v>-7.0540000000000003</v>
      </c>
      <c r="BV4">
        <v>0.23400000000000001</v>
      </c>
      <c r="BW4">
        <f t="shared" si="0"/>
        <v>23.400000000000002</v>
      </c>
      <c r="BX4" s="1">
        <f t="shared" ref="BX4:BX31" si="25">BW4-E4</f>
        <v>1.8000000000000007</v>
      </c>
      <c r="BY4" s="1">
        <f t="shared" ref="BY4:BY31" si="26">BX4*BX4</f>
        <v>3.2400000000000024</v>
      </c>
      <c r="BZ4" s="1">
        <f t="shared" ref="BZ4:BZ31" si="27">BW4/E4-1</f>
        <v>8.3333333333333259E-2</v>
      </c>
      <c r="CB4">
        <v>2</v>
      </c>
      <c r="CC4">
        <v>7.03</v>
      </c>
      <c r="CD4">
        <v>-7.0439999999999996</v>
      </c>
      <c r="CE4">
        <v>0.23</v>
      </c>
      <c r="CF4">
        <f t="shared" si="1"/>
        <v>23</v>
      </c>
      <c r="CG4" s="1">
        <f t="shared" ref="CG4:CG31" si="28">CF4-E4</f>
        <v>1.3999999999999986</v>
      </c>
      <c r="CH4" s="1">
        <f t="shared" ref="CH4:CH31" si="29">CG4*CG4</f>
        <v>1.959999999999996</v>
      </c>
      <c r="CI4" s="1">
        <f t="shared" ref="CI4:CI31" si="30">CF4/E4-1</f>
        <v>6.4814814814814659E-2</v>
      </c>
      <c r="CK4">
        <v>2</v>
      </c>
      <c r="CL4">
        <v>7.0919999999999996</v>
      </c>
      <c r="CM4">
        <v>-6.9509999999999996</v>
      </c>
      <c r="CN4">
        <v>0.23599999999999999</v>
      </c>
      <c r="CO4">
        <f t="shared" si="2"/>
        <v>23.599999999999998</v>
      </c>
      <c r="CP4" s="1">
        <f t="shared" ref="CP4:CP31" si="31">CO4-E4</f>
        <v>1.9999999999999964</v>
      </c>
      <c r="CQ4" s="1">
        <f t="shared" ref="CQ4:CQ32" si="32">CP4*CP4</f>
        <v>3.9999999999999858</v>
      </c>
      <c r="CR4" s="1">
        <f t="shared" ref="CR4:CR31" si="33">CO4/E4-1</f>
        <v>9.2592592592592338E-2</v>
      </c>
    </row>
    <row r="5" spans="1:96" x14ac:dyDescent="0.3">
      <c r="A5">
        <v>4.26</v>
      </c>
      <c r="B5">
        <v>2.411</v>
      </c>
      <c r="C5">
        <v>3</v>
      </c>
      <c r="D5">
        <v>0.34300000000000003</v>
      </c>
      <c r="E5">
        <f t="shared" si="3"/>
        <v>34.300000000000004</v>
      </c>
      <c r="G5">
        <v>3</v>
      </c>
      <c r="H5">
        <v>4.19672</v>
      </c>
      <c r="I5">
        <v>2.3815200000000001</v>
      </c>
      <c r="J5">
        <v>0.33900000000000002</v>
      </c>
      <c r="K5">
        <v>33.9</v>
      </c>
      <c r="L5" s="1">
        <f t="shared" si="4"/>
        <v>-0.40000000000000568</v>
      </c>
      <c r="M5" s="1">
        <f t="shared" si="5"/>
        <v>0.16000000000000456</v>
      </c>
      <c r="N5" s="1">
        <f t="shared" si="6"/>
        <v>-1.1661807580175099E-2</v>
      </c>
      <c r="Q5">
        <v>3</v>
      </c>
      <c r="R5">
        <v>4.2089999999999996</v>
      </c>
      <c r="S5">
        <v>2.4260000000000002</v>
      </c>
      <c r="T5">
        <v>0.34599999999999997</v>
      </c>
      <c r="U5">
        <v>32.9</v>
      </c>
      <c r="V5" s="1">
        <f t="shared" si="7"/>
        <v>-1.4000000000000057</v>
      </c>
      <c r="W5" s="1">
        <f t="shared" si="8"/>
        <v>1.960000000000016</v>
      </c>
      <c r="X5" s="1">
        <f t="shared" si="9"/>
        <v>-4.0816326530612401E-2</v>
      </c>
      <c r="Z5">
        <v>3</v>
      </c>
      <c r="AA5">
        <v>4.226</v>
      </c>
      <c r="AB5">
        <v>2.4079999999999999</v>
      </c>
      <c r="AC5">
        <v>0.32900000000000001</v>
      </c>
      <c r="AD5">
        <v>34.6</v>
      </c>
      <c r="AE5" s="1">
        <f t="shared" si="10"/>
        <v>0.29999999999999716</v>
      </c>
      <c r="AF5" s="1">
        <f t="shared" si="11"/>
        <v>8.999999999999829E-2</v>
      </c>
      <c r="AG5" s="1">
        <f t="shared" si="12"/>
        <v>8.7463556851310464E-3</v>
      </c>
      <c r="AI5">
        <v>3</v>
      </c>
      <c r="AJ5">
        <v>4.2560000000000002</v>
      </c>
      <c r="AK5">
        <v>2.37</v>
      </c>
      <c r="AL5">
        <v>0.32500000000000001</v>
      </c>
      <c r="AM5">
        <v>32.5</v>
      </c>
      <c r="AN5" s="1">
        <f t="shared" si="13"/>
        <v>-1.8000000000000043</v>
      </c>
      <c r="AO5" s="1">
        <f t="shared" si="14"/>
        <v>3.2400000000000153</v>
      </c>
      <c r="AP5" s="1">
        <f t="shared" si="15"/>
        <v>-5.2478134110787278E-2</v>
      </c>
      <c r="AR5">
        <v>3</v>
      </c>
      <c r="AS5">
        <v>4.226</v>
      </c>
      <c r="AT5">
        <v>2.4239999999999999</v>
      </c>
      <c r="AU5">
        <v>0.33900000000000002</v>
      </c>
      <c r="AV5">
        <v>33.9</v>
      </c>
      <c r="AW5" s="1">
        <f t="shared" si="16"/>
        <v>-0.40000000000000568</v>
      </c>
      <c r="AX5" s="1">
        <f t="shared" si="17"/>
        <v>0.16000000000000456</v>
      </c>
      <c r="AY5" s="1">
        <f t="shared" si="18"/>
        <v>-1.1661807580175099E-2</v>
      </c>
      <c r="BA5">
        <v>3</v>
      </c>
      <c r="BB5">
        <v>4.2130000000000001</v>
      </c>
      <c r="BC5">
        <v>2.4289999999999998</v>
      </c>
      <c r="BD5">
        <v>0.34200000000000003</v>
      </c>
      <c r="BE5">
        <v>34.200000000000003</v>
      </c>
      <c r="BF5" s="1">
        <f t="shared" si="19"/>
        <v>-0.10000000000000142</v>
      </c>
      <c r="BG5" s="1">
        <f t="shared" si="20"/>
        <v>1.0000000000000285E-2</v>
      </c>
      <c r="BH5" s="1">
        <f t="shared" si="21"/>
        <v>-2.9154518950437192E-3</v>
      </c>
      <c r="BJ5">
        <v>3</v>
      </c>
      <c r="BK5">
        <v>4.226</v>
      </c>
      <c r="BL5">
        <v>2.3839999999999999</v>
      </c>
      <c r="BM5">
        <v>0.34100000000000003</v>
      </c>
      <c r="BN5">
        <v>34.1</v>
      </c>
      <c r="BO5" s="1">
        <f t="shared" si="22"/>
        <v>-0.20000000000000284</v>
      </c>
      <c r="BP5" s="1">
        <f t="shared" si="23"/>
        <v>4.0000000000001139E-2</v>
      </c>
      <c r="BQ5" s="1">
        <f t="shared" si="24"/>
        <v>-5.8309037900875493E-3</v>
      </c>
      <c r="BS5">
        <v>3</v>
      </c>
      <c r="BT5">
        <v>4.242</v>
      </c>
      <c r="BU5">
        <v>2.403</v>
      </c>
      <c r="BV5">
        <v>0.33800000000000002</v>
      </c>
      <c r="BW5">
        <f t="shared" si="0"/>
        <v>33.800000000000004</v>
      </c>
      <c r="BX5" s="1">
        <f t="shared" si="25"/>
        <v>-0.5</v>
      </c>
      <c r="BY5" s="1">
        <f t="shared" si="26"/>
        <v>0.25</v>
      </c>
      <c r="BZ5" s="1">
        <f t="shared" si="27"/>
        <v>-1.4577259475218707E-2</v>
      </c>
      <c r="CB5">
        <v>3</v>
      </c>
      <c r="CC5">
        <v>4.2119999999999997</v>
      </c>
      <c r="CD5">
        <v>2.4089999999999998</v>
      </c>
      <c r="CE5">
        <v>0.33700000000000002</v>
      </c>
      <c r="CF5">
        <f t="shared" si="1"/>
        <v>33.700000000000003</v>
      </c>
      <c r="CG5" s="1">
        <f t="shared" si="28"/>
        <v>-0.60000000000000142</v>
      </c>
      <c r="CH5" s="1">
        <f t="shared" si="29"/>
        <v>0.36000000000000171</v>
      </c>
      <c r="CI5" s="1">
        <f t="shared" si="30"/>
        <v>-1.7492711370262426E-2</v>
      </c>
      <c r="CK5">
        <v>3</v>
      </c>
      <c r="CL5">
        <v>4.18</v>
      </c>
      <c r="CM5">
        <v>2.4569999999999999</v>
      </c>
      <c r="CN5">
        <v>0.33400000000000002</v>
      </c>
      <c r="CO5">
        <f t="shared" si="2"/>
        <v>33.4</v>
      </c>
      <c r="CP5" s="1">
        <f t="shared" si="31"/>
        <v>-0.90000000000000568</v>
      </c>
      <c r="CQ5" s="1">
        <f t="shared" si="32"/>
        <v>0.81000000000001027</v>
      </c>
      <c r="CR5" s="1">
        <f t="shared" si="33"/>
        <v>-2.6239067055393694E-2</v>
      </c>
    </row>
    <row r="6" spans="1:96" x14ac:dyDescent="0.3">
      <c r="A6">
        <v>4.2240000000000002</v>
      </c>
      <c r="B6">
        <v>10.768000000000001</v>
      </c>
      <c r="C6">
        <v>4</v>
      </c>
      <c r="D6">
        <v>0.45600000000000002</v>
      </c>
      <c r="E6">
        <f t="shared" si="3"/>
        <v>45.6</v>
      </c>
      <c r="G6">
        <v>4</v>
      </c>
      <c r="H6">
        <v>4.1707799999999997</v>
      </c>
      <c r="I6">
        <v>10.75732</v>
      </c>
      <c r="J6">
        <v>0.45</v>
      </c>
      <c r="K6">
        <v>45</v>
      </c>
      <c r="L6" s="1">
        <f t="shared" si="4"/>
        <v>-0.60000000000000142</v>
      </c>
      <c r="M6" s="1">
        <f t="shared" si="5"/>
        <v>0.36000000000000171</v>
      </c>
      <c r="N6" s="1">
        <f t="shared" si="6"/>
        <v>-1.3157894736842146E-2</v>
      </c>
      <c r="Q6">
        <v>4</v>
      </c>
      <c r="R6">
        <v>4.1109999999999998</v>
      </c>
      <c r="S6">
        <v>10.808999999999999</v>
      </c>
      <c r="T6">
        <v>0.45800000000000002</v>
      </c>
      <c r="U6">
        <v>43.4</v>
      </c>
      <c r="V6" s="1">
        <f t="shared" si="7"/>
        <v>-2.2000000000000028</v>
      </c>
      <c r="W6" s="1">
        <f t="shared" si="8"/>
        <v>4.8400000000000123</v>
      </c>
      <c r="X6" s="1">
        <f t="shared" si="9"/>
        <v>-4.8245614035087758E-2</v>
      </c>
      <c r="Z6">
        <v>4</v>
      </c>
      <c r="AA6">
        <v>4.1509999999999998</v>
      </c>
      <c r="AB6">
        <v>10.781000000000001</v>
      </c>
      <c r="AC6">
        <v>0.434</v>
      </c>
      <c r="AD6">
        <v>45.8</v>
      </c>
      <c r="AE6" s="1">
        <f t="shared" si="10"/>
        <v>0.19999999999999574</v>
      </c>
      <c r="AF6" s="1">
        <f t="shared" si="11"/>
        <v>3.9999999999998294E-2</v>
      </c>
      <c r="AG6" s="1">
        <f t="shared" si="12"/>
        <v>4.3859649122806044E-3</v>
      </c>
      <c r="AI6">
        <v>4</v>
      </c>
      <c r="AJ6">
        <v>4.2750000000000004</v>
      </c>
      <c r="AK6">
        <v>10.741</v>
      </c>
      <c r="AL6">
        <v>0.438</v>
      </c>
      <c r="AM6">
        <v>43.8</v>
      </c>
      <c r="AN6" s="1">
        <f t="shared" si="13"/>
        <v>-1.8000000000000043</v>
      </c>
      <c r="AO6" s="1">
        <f t="shared" si="14"/>
        <v>3.2400000000000153</v>
      </c>
      <c r="AP6" s="1">
        <f t="shared" si="15"/>
        <v>-3.9473684210526438E-2</v>
      </c>
      <c r="AR6">
        <v>4</v>
      </c>
      <c r="AS6">
        <v>4.1210000000000004</v>
      </c>
      <c r="AT6">
        <v>10.803000000000001</v>
      </c>
      <c r="AU6">
        <v>0.45</v>
      </c>
      <c r="AV6">
        <v>45</v>
      </c>
      <c r="AW6" s="1">
        <f t="shared" si="16"/>
        <v>-0.60000000000000142</v>
      </c>
      <c r="AX6" s="1">
        <f t="shared" si="17"/>
        <v>0.36000000000000171</v>
      </c>
      <c r="AY6" s="1">
        <f t="shared" si="18"/>
        <v>-1.3157894736842146E-2</v>
      </c>
      <c r="BA6">
        <v>4</v>
      </c>
      <c r="BB6">
        <v>4.1349999999999998</v>
      </c>
      <c r="BC6">
        <v>10.744999999999999</v>
      </c>
      <c r="BD6">
        <v>0.438</v>
      </c>
      <c r="BE6">
        <v>43.8</v>
      </c>
      <c r="BF6" s="1">
        <f t="shared" si="19"/>
        <v>-1.8000000000000043</v>
      </c>
      <c r="BG6" s="1">
        <f t="shared" si="20"/>
        <v>3.2400000000000153</v>
      </c>
      <c r="BH6" s="1">
        <f t="shared" si="21"/>
        <v>-3.9473684210526438E-2</v>
      </c>
      <c r="BJ6">
        <v>4</v>
      </c>
      <c r="BK6">
        <v>4.234</v>
      </c>
      <c r="BL6">
        <v>10.756</v>
      </c>
      <c r="BM6">
        <v>0.42799999999999999</v>
      </c>
      <c r="BN6">
        <v>42.8</v>
      </c>
      <c r="BO6" s="1">
        <f t="shared" si="22"/>
        <v>-2.8000000000000043</v>
      </c>
      <c r="BP6" s="1">
        <f t="shared" si="23"/>
        <v>7.8400000000000238</v>
      </c>
      <c r="BQ6" s="1">
        <f t="shared" si="24"/>
        <v>-6.1403508771929904E-2</v>
      </c>
      <c r="BS6">
        <v>4</v>
      </c>
      <c r="BT6">
        <v>0</v>
      </c>
      <c r="BU6">
        <v>0</v>
      </c>
      <c r="BV6">
        <v>0</v>
      </c>
      <c r="BW6">
        <f t="shared" si="0"/>
        <v>0</v>
      </c>
      <c r="BX6" s="1">
        <f t="shared" si="25"/>
        <v>-45.6</v>
      </c>
      <c r="BY6" s="1">
        <f t="shared" si="26"/>
        <v>2079.36</v>
      </c>
      <c r="BZ6" s="1">
        <f t="shared" si="27"/>
        <v>-1</v>
      </c>
      <c r="CB6">
        <v>4</v>
      </c>
      <c r="CC6">
        <v>0</v>
      </c>
      <c r="CD6">
        <v>0</v>
      </c>
      <c r="CE6">
        <v>0</v>
      </c>
      <c r="CF6">
        <f t="shared" ref="CF6" si="34">CE6*100</f>
        <v>0</v>
      </c>
      <c r="CG6" s="1">
        <f t="shared" si="28"/>
        <v>-45.6</v>
      </c>
      <c r="CH6" s="1">
        <f t="shared" si="29"/>
        <v>2079.36</v>
      </c>
      <c r="CI6" s="1">
        <f t="shared" si="30"/>
        <v>-1</v>
      </c>
      <c r="CK6">
        <v>4</v>
      </c>
      <c r="CL6">
        <v>4.0709999999999997</v>
      </c>
      <c r="CM6">
        <v>10.818</v>
      </c>
      <c r="CN6">
        <v>0.42299999999999999</v>
      </c>
      <c r="CO6">
        <f t="shared" si="2"/>
        <v>42.3</v>
      </c>
      <c r="CP6" s="1">
        <f t="shared" si="31"/>
        <v>-3.3000000000000043</v>
      </c>
      <c r="CQ6" s="1">
        <f t="shared" si="32"/>
        <v>10.890000000000029</v>
      </c>
      <c r="CR6" s="1">
        <f t="shared" si="33"/>
        <v>-7.2368421052631637E-2</v>
      </c>
    </row>
    <row r="7" spans="1:96" x14ac:dyDescent="0.3">
      <c r="A7">
        <v>5.806</v>
      </c>
      <c r="B7">
        <v>23.503</v>
      </c>
      <c r="C7">
        <v>5</v>
      </c>
      <c r="D7">
        <v>0.39200000000000002</v>
      </c>
      <c r="E7">
        <f t="shared" si="3"/>
        <v>39.200000000000003</v>
      </c>
      <c r="G7">
        <v>5</v>
      </c>
      <c r="H7">
        <v>5.7857799999999999</v>
      </c>
      <c r="I7">
        <v>23.43816</v>
      </c>
      <c r="J7">
        <v>0.28899999999999998</v>
      </c>
      <c r="K7">
        <v>38.1</v>
      </c>
      <c r="L7" s="1">
        <f t="shared" si="4"/>
        <v>-1.1000000000000014</v>
      </c>
      <c r="M7" s="1">
        <f t="shared" si="5"/>
        <v>1.2100000000000031</v>
      </c>
      <c r="N7" s="1">
        <f t="shared" si="6"/>
        <v>-2.8061224489795977E-2</v>
      </c>
      <c r="Q7">
        <v>5</v>
      </c>
      <c r="R7">
        <v>5.6219999999999999</v>
      </c>
      <c r="S7">
        <v>23.541</v>
      </c>
      <c r="T7">
        <v>0.36399999999999999</v>
      </c>
      <c r="U7">
        <v>35.700000000000003</v>
      </c>
      <c r="V7" s="1">
        <f t="shared" si="7"/>
        <v>-3.5</v>
      </c>
      <c r="W7" s="1">
        <f t="shared" si="8"/>
        <v>12.25</v>
      </c>
      <c r="X7" s="1">
        <f t="shared" si="9"/>
        <v>-8.9285714285714302E-2</v>
      </c>
      <c r="Z7">
        <v>5</v>
      </c>
      <c r="AA7">
        <v>5.6970000000000001</v>
      </c>
      <c r="AB7">
        <v>23.523</v>
      </c>
      <c r="AC7">
        <v>0.35699999999999998</v>
      </c>
      <c r="AD7">
        <v>36.4</v>
      </c>
      <c r="AE7" s="1">
        <f t="shared" si="10"/>
        <v>-2.8000000000000043</v>
      </c>
      <c r="AF7" s="1">
        <f t="shared" si="11"/>
        <v>7.8400000000000238</v>
      </c>
      <c r="AG7" s="1">
        <f t="shared" si="12"/>
        <v>-7.1428571428571508E-2</v>
      </c>
      <c r="AI7">
        <v>5</v>
      </c>
      <c r="AJ7">
        <v>5.9660000000000002</v>
      </c>
      <c r="AK7">
        <v>23.472999999999999</v>
      </c>
      <c r="AL7">
        <v>0.36799999999999999</v>
      </c>
      <c r="AM7">
        <v>36.799999999999997</v>
      </c>
      <c r="AN7" s="1">
        <f t="shared" si="13"/>
        <v>-2.4000000000000057</v>
      </c>
      <c r="AO7" s="1">
        <f t="shared" si="14"/>
        <v>5.7600000000000273</v>
      </c>
      <c r="AP7" s="1">
        <f t="shared" si="15"/>
        <v>-6.1224489795918546E-2</v>
      </c>
      <c r="AR7">
        <v>5</v>
      </c>
      <c r="AS7">
        <v>5.6429999999999998</v>
      </c>
      <c r="AT7">
        <v>23.547000000000001</v>
      </c>
      <c r="AU7">
        <v>0.38100000000000001</v>
      </c>
      <c r="AV7">
        <v>28.9</v>
      </c>
      <c r="AW7" s="1">
        <f t="shared" si="16"/>
        <v>-10.300000000000004</v>
      </c>
      <c r="AX7" s="1">
        <f t="shared" si="17"/>
        <v>106.09000000000009</v>
      </c>
      <c r="AY7" s="1">
        <f t="shared" si="18"/>
        <v>-0.26275510204081642</v>
      </c>
      <c r="BA7">
        <v>5</v>
      </c>
      <c r="BB7">
        <v>5.6970000000000001</v>
      </c>
      <c r="BC7">
        <v>23.388999999999999</v>
      </c>
      <c r="BD7">
        <v>0.30099999999999999</v>
      </c>
      <c r="BE7">
        <v>30.1</v>
      </c>
      <c r="BF7" s="1">
        <f t="shared" si="19"/>
        <v>-9.1000000000000014</v>
      </c>
      <c r="BG7" s="1">
        <f t="shared" si="20"/>
        <v>82.810000000000031</v>
      </c>
      <c r="BH7" s="1">
        <f t="shared" si="21"/>
        <v>-0.23214285714285721</v>
      </c>
      <c r="BJ7">
        <v>5</v>
      </c>
      <c r="BK7">
        <v>5.9020000000000001</v>
      </c>
      <c r="BL7">
        <v>23.452000000000002</v>
      </c>
      <c r="BM7">
        <v>0.36299999999999999</v>
      </c>
      <c r="BN7">
        <v>36.299999999999997</v>
      </c>
      <c r="BO7" s="1">
        <f t="shared" si="22"/>
        <v>-2.9000000000000057</v>
      </c>
      <c r="BP7" s="1">
        <f t="shared" si="23"/>
        <v>8.4100000000000321</v>
      </c>
      <c r="BQ7" s="1">
        <f t="shared" si="24"/>
        <v>-7.3979591836734859E-2</v>
      </c>
      <c r="BS7">
        <v>5</v>
      </c>
      <c r="BT7">
        <v>5.9109999999999996</v>
      </c>
      <c r="BU7">
        <v>23.5</v>
      </c>
      <c r="BV7">
        <v>0.373</v>
      </c>
      <c r="BW7">
        <f t="shared" si="0"/>
        <v>37.299999999999997</v>
      </c>
      <c r="BX7" s="1">
        <f t="shared" si="25"/>
        <v>-1.9000000000000057</v>
      </c>
      <c r="BY7" s="1">
        <f t="shared" si="26"/>
        <v>3.6100000000000216</v>
      </c>
      <c r="BZ7" s="1">
        <f t="shared" si="27"/>
        <v>-4.8469387755102233E-2</v>
      </c>
      <c r="CB7">
        <v>5</v>
      </c>
      <c r="CC7">
        <v>5.766</v>
      </c>
      <c r="CD7">
        <v>23.477</v>
      </c>
      <c r="CE7">
        <v>0.29399999999999998</v>
      </c>
      <c r="CF7">
        <f t="shared" si="1"/>
        <v>29.4</v>
      </c>
      <c r="CG7" s="1">
        <f t="shared" si="28"/>
        <v>-9.8000000000000043</v>
      </c>
      <c r="CH7" s="1">
        <f t="shared" si="29"/>
        <v>96.040000000000077</v>
      </c>
      <c r="CI7" s="1">
        <f t="shared" si="30"/>
        <v>-0.25000000000000011</v>
      </c>
      <c r="CK7">
        <v>5</v>
      </c>
      <c r="CL7">
        <v>5.5110000000000001</v>
      </c>
      <c r="CM7">
        <v>23.577000000000002</v>
      </c>
      <c r="CN7">
        <v>0.308</v>
      </c>
      <c r="CO7">
        <f t="shared" si="2"/>
        <v>30.8</v>
      </c>
      <c r="CP7" s="1">
        <f t="shared" si="31"/>
        <v>-8.4000000000000021</v>
      </c>
      <c r="CQ7" s="1">
        <f t="shared" si="32"/>
        <v>70.560000000000031</v>
      </c>
      <c r="CR7" s="1">
        <f t="shared" si="33"/>
        <v>-0.2142857142857143</v>
      </c>
    </row>
    <row r="8" spans="1:96" x14ac:dyDescent="0.3">
      <c r="A8">
        <v>10.32</v>
      </c>
      <c r="B8">
        <v>-5.7039999999999997</v>
      </c>
      <c r="C8">
        <v>6</v>
      </c>
      <c r="D8">
        <v>0.24</v>
      </c>
      <c r="E8">
        <f t="shared" si="3"/>
        <v>24</v>
      </c>
      <c r="G8">
        <v>6</v>
      </c>
      <c r="H8">
        <v>10.257820000000001</v>
      </c>
      <c r="I8">
        <v>-5.7433300000000003</v>
      </c>
      <c r="J8">
        <v>0.23899999999999999</v>
      </c>
      <c r="K8">
        <v>23.8</v>
      </c>
      <c r="L8" s="1">
        <f t="shared" si="4"/>
        <v>-0.19999999999999929</v>
      </c>
      <c r="M8" s="1">
        <f t="shared" si="5"/>
        <v>3.9999999999999716E-2</v>
      </c>
      <c r="N8" s="1">
        <f t="shared" si="6"/>
        <v>-8.3333333333333037E-3</v>
      </c>
      <c r="Q8">
        <v>6</v>
      </c>
      <c r="R8">
        <v>10.329000000000001</v>
      </c>
      <c r="S8">
        <v>-5.649</v>
      </c>
      <c r="T8">
        <v>0.24</v>
      </c>
      <c r="U8">
        <v>24.7</v>
      </c>
      <c r="V8" s="1">
        <f t="shared" si="7"/>
        <v>0.69999999999999929</v>
      </c>
      <c r="W8" s="1">
        <f t="shared" si="8"/>
        <v>0.48999999999999899</v>
      </c>
      <c r="X8" s="1">
        <f t="shared" si="9"/>
        <v>2.9166666666666563E-2</v>
      </c>
      <c r="Z8">
        <v>6</v>
      </c>
      <c r="AA8">
        <v>10.317</v>
      </c>
      <c r="AB8">
        <v>-5.681</v>
      </c>
      <c r="AC8">
        <v>0.247</v>
      </c>
      <c r="AD8">
        <v>24</v>
      </c>
      <c r="AE8" s="1">
        <f t="shared" si="10"/>
        <v>0</v>
      </c>
      <c r="AF8" s="1">
        <f t="shared" si="11"/>
        <v>0</v>
      </c>
      <c r="AG8" s="1">
        <f t="shared" si="12"/>
        <v>0</v>
      </c>
      <c r="AI8">
        <v>6</v>
      </c>
      <c r="AJ8">
        <v>10.265000000000001</v>
      </c>
      <c r="AK8">
        <v>-5.782</v>
      </c>
      <c r="AL8">
        <v>0.22900000000000001</v>
      </c>
      <c r="AM8">
        <v>22.9</v>
      </c>
      <c r="AN8" s="1">
        <f t="shared" si="13"/>
        <v>-1.1000000000000014</v>
      </c>
      <c r="AO8" s="1">
        <f t="shared" si="14"/>
        <v>1.2100000000000031</v>
      </c>
      <c r="AP8" s="1">
        <f t="shared" si="15"/>
        <v>-4.5833333333333393E-2</v>
      </c>
      <c r="AR8">
        <v>6</v>
      </c>
      <c r="AS8">
        <v>10.337</v>
      </c>
      <c r="AT8">
        <v>-5.6509999999999998</v>
      </c>
      <c r="AU8">
        <v>0.23799999999999999</v>
      </c>
      <c r="AV8">
        <v>23.9</v>
      </c>
      <c r="AW8" s="1">
        <f t="shared" si="16"/>
        <v>-0.10000000000000142</v>
      </c>
      <c r="AX8" s="1">
        <f t="shared" si="17"/>
        <v>1.0000000000000285E-2</v>
      </c>
      <c r="AY8" s="1">
        <f t="shared" si="18"/>
        <v>-4.1666666666667629E-3</v>
      </c>
      <c r="BA8">
        <v>6</v>
      </c>
      <c r="BB8">
        <v>10.318</v>
      </c>
      <c r="BC8">
        <v>-5.585</v>
      </c>
      <c r="BD8">
        <v>0.23</v>
      </c>
      <c r="BE8">
        <v>23</v>
      </c>
      <c r="BF8" s="1">
        <f t="shared" si="19"/>
        <v>-1</v>
      </c>
      <c r="BG8" s="1">
        <f t="shared" si="20"/>
        <v>1</v>
      </c>
      <c r="BH8" s="1">
        <f t="shared" si="21"/>
        <v>-4.166666666666663E-2</v>
      </c>
      <c r="BJ8">
        <v>6</v>
      </c>
      <c r="BK8">
        <v>10.25</v>
      </c>
      <c r="BL8">
        <v>-5.7720000000000002</v>
      </c>
      <c r="BM8">
        <v>0.22800000000000001</v>
      </c>
      <c r="BN8">
        <v>22.8</v>
      </c>
      <c r="BO8" s="1">
        <f t="shared" si="22"/>
        <v>-1.1999999999999993</v>
      </c>
      <c r="BP8" s="1">
        <f t="shared" si="23"/>
        <v>1.4399999999999984</v>
      </c>
      <c r="BQ8" s="1">
        <f t="shared" si="24"/>
        <v>-4.9999999999999933E-2</v>
      </c>
      <c r="BS8">
        <v>6</v>
      </c>
      <c r="BT8">
        <v>10.250999999999999</v>
      </c>
      <c r="BU8">
        <v>-5.7460000000000004</v>
      </c>
      <c r="BV8">
        <v>0.22600000000000001</v>
      </c>
      <c r="BW8">
        <f t="shared" si="0"/>
        <v>22.6</v>
      </c>
      <c r="BX8" s="1">
        <f t="shared" si="25"/>
        <v>-1.3999999999999986</v>
      </c>
      <c r="BY8" s="1">
        <f t="shared" si="26"/>
        <v>1.959999999999996</v>
      </c>
      <c r="BZ8" s="1">
        <f t="shared" si="27"/>
        <v>-5.8333333333333237E-2</v>
      </c>
      <c r="CB8">
        <v>6</v>
      </c>
      <c r="CC8">
        <v>10.288</v>
      </c>
      <c r="CD8">
        <v>-5.7</v>
      </c>
      <c r="CE8">
        <v>0.23300000000000001</v>
      </c>
      <c r="CF8">
        <f t="shared" si="1"/>
        <v>23.3</v>
      </c>
      <c r="CG8" s="1">
        <f t="shared" si="28"/>
        <v>-0.69999999999999929</v>
      </c>
      <c r="CH8" s="1">
        <f t="shared" si="29"/>
        <v>0.48999999999999899</v>
      </c>
      <c r="CI8" s="1">
        <f t="shared" si="30"/>
        <v>-2.9166666666666674E-2</v>
      </c>
      <c r="CK8">
        <v>6</v>
      </c>
      <c r="CL8">
        <v>10.333</v>
      </c>
      <c r="CM8">
        <v>-5.5830000000000002</v>
      </c>
      <c r="CN8">
        <v>0.23400000000000001</v>
      </c>
      <c r="CO8">
        <f t="shared" si="2"/>
        <v>23.400000000000002</v>
      </c>
      <c r="CP8" s="1">
        <f t="shared" si="31"/>
        <v>-0.59999999999999787</v>
      </c>
      <c r="CQ8" s="1">
        <f t="shared" si="32"/>
        <v>0.35999999999999743</v>
      </c>
      <c r="CR8" s="1">
        <f t="shared" si="33"/>
        <v>-2.4999999999999911E-2</v>
      </c>
    </row>
    <row r="9" spans="1:96" x14ac:dyDescent="0.3">
      <c r="A9">
        <v>8.3460000000000001</v>
      </c>
      <c r="B9">
        <v>14.73</v>
      </c>
      <c r="C9">
        <v>7</v>
      </c>
      <c r="D9">
        <v>0.66200000000000003</v>
      </c>
      <c r="E9">
        <f t="shared" si="3"/>
        <v>66.2</v>
      </c>
      <c r="G9">
        <v>7</v>
      </c>
      <c r="H9">
        <v>8.3435000000000006</v>
      </c>
      <c r="I9">
        <v>14.6692</v>
      </c>
      <c r="J9">
        <v>0.49299999999999999</v>
      </c>
      <c r="K9">
        <v>58.5</v>
      </c>
      <c r="L9" s="1">
        <f t="shared" si="4"/>
        <v>-7.7000000000000028</v>
      </c>
      <c r="M9" s="1">
        <f t="shared" si="5"/>
        <v>59.290000000000042</v>
      </c>
      <c r="N9" s="1">
        <f t="shared" si="6"/>
        <v>-0.11631419939577048</v>
      </c>
      <c r="Q9">
        <v>7</v>
      </c>
      <c r="R9">
        <v>8.2720000000000002</v>
      </c>
      <c r="S9">
        <v>14.739000000000001</v>
      </c>
      <c r="T9">
        <v>0.47599999999999998</v>
      </c>
      <c r="U9">
        <v>61.3</v>
      </c>
      <c r="V9" s="1">
        <f t="shared" si="7"/>
        <v>-4.9000000000000057</v>
      </c>
      <c r="W9" s="1">
        <f t="shared" si="8"/>
        <v>24.010000000000055</v>
      </c>
      <c r="X9" s="1">
        <f t="shared" si="9"/>
        <v>-7.4018126888217628E-2</v>
      </c>
      <c r="Z9">
        <v>7</v>
      </c>
      <c r="AA9">
        <v>8.3149999999999995</v>
      </c>
      <c r="AB9">
        <v>14.738</v>
      </c>
      <c r="AC9">
        <v>0.51300000000000001</v>
      </c>
      <c r="AD9">
        <v>77.599999999999994</v>
      </c>
      <c r="AE9" s="1">
        <f t="shared" si="10"/>
        <v>11.399999999999991</v>
      </c>
      <c r="AF9" s="1">
        <f t="shared" si="11"/>
        <v>129.95999999999981</v>
      </c>
      <c r="AG9" s="1">
        <f t="shared" si="12"/>
        <v>0.17220543806646504</v>
      </c>
      <c r="AI9">
        <v>7</v>
      </c>
      <c r="AJ9">
        <v>8.4819999999999993</v>
      </c>
      <c r="AK9">
        <v>14.711</v>
      </c>
      <c r="AL9">
        <v>0.58599999999999997</v>
      </c>
      <c r="AM9">
        <v>58.6</v>
      </c>
      <c r="AN9" s="1">
        <f t="shared" si="13"/>
        <v>-7.6000000000000014</v>
      </c>
      <c r="AO9" s="1">
        <f t="shared" si="14"/>
        <v>57.760000000000019</v>
      </c>
      <c r="AP9" s="1">
        <f t="shared" si="15"/>
        <v>-0.11480362537764355</v>
      </c>
      <c r="AR9">
        <v>7</v>
      </c>
      <c r="AS9">
        <v>8.2669999999999995</v>
      </c>
      <c r="AT9">
        <v>14.819000000000001</v>
      </c>
      <c r="AU9">
        <v>0.58499999999999996</v>
      </c>
      <c r="AV9">
        <v>49.3</v>
      </c>
      <c r="AW9" s="1">
        <f t="shared" si="16"/>
        <v>-16.900000000000006</v>
      </c>
      <c r="AX9" s="1">
        <f t="shared" si="17"/>
        <v>285.61000000000018</v>
      </c>
      <c r="AY9" s="1">
        <f t="shared" si="18"/>
        <v>-0.25528700906344415</v>
      </c>
      <c r="BA9">
        <v>7</v>
      </c>
      <c r="BB9">
        <v>8.2989999999999995</v>
      </c>
      <c r="BC9">
        <v>14.743</v>
      </c>
      <c r="BD9">
        <v>0.55200000000000005</v>
      </c>
      <c r="BE9">
        <v>55.2</v>
      </c>
      <c r="BF9" s="1">
        <f t="shared" si="19"/>
        <v>-11</v>
      </c>
      <c r="BG9" s="1">
        <f t="shared" si="20"/>
        <v>121</v>
      </c>
      <c r="BH9" s="1">
        <f t="shared" si="21"/>
        <v>-0.16616314199395765</v>
      </c>
      <c r="BJ9">
        <v>7</v>
      </c>
      <c r="BK9">
        <v>8.4290000000000003</v>
      </c>
      <c r="BL9">
        <v>14.622999999999999</v>
      </c>
      <c r="BM9">
        <v>0.434</v>
      </c>
      <c r="BN9">
        <v>43.4</v>
      </c>
      <c r="BO9" s="1">
        <f t="shared" si="22"/>
        <v>-22.800000000000004</v>
      </c>
      <c r="BP9" s="1">
        <f t="shared" si="23"/>
        <v>519.84000000000015</v>
      </c>
      <c r="BQ9" s="1">
        <f t="shared" si="24"/>
        <v>-0.34441087613293053</v>
      </c>
      <c r="BS9">
        <v>7</v>
      </c>
      <c r="BT9">
        <v>8.4380000000000006</v>
      </c>
      <c r="BU9">
        <v>14.73</v>
      </c>
      <c r="BV9">
        <v>0.58699999999999997</v>
      </c>
      <c r="BW9">
        <f t="shared" si="0"/>
        <v>58.699999999999996</v>
      </c>
      <c r="BX9" s="1">
        <f t="shared" si="25"/>
        <v>-7.5000000000000071</v>
      </c>
      <c r="BY9" s="1">
        <f t="shared" si="26"/>
        <v>56.250000000000107</v>
      </c>
      <c r="BZ9" s="1">
        <f t="shared" si="27"/>
        <v>-0.11329305135951673</v>
      </c>
      <c r="CB9">
        <v>7</v>
      </c>
      <c r="CC9">
        <v>8.3670000000000009</v>
      </c>
      <c r="CD9">
        <v>14.678000000000001</v>
      </c>
      <c r="CE9">
        <v>0.46700000000000003</v>
      </c>
      <c r="CF9">
        <f t="shared" si="1"/>
        <v>46.7</v>
      </c>
      <c r="CG9" s="1">
        <f t="shared" si="28"/>
        <v>-19.5</v>
      </c>
      <c r="CH9" s="1">
        <f t="shared" si="29"/>
        <v>380.25</v>
      </c>
      <c r="CI9" s="1">
        <f t="shared" si="30"/>
        <v>-0.29456193353474314</v>
      </c>
      <c r="CK9">
        <v>7</v>
      </c>
      <c r="CL9">
        <v>8.1809999999999992</v>
      </c>
      <c r="CM9">
        <v>14.797000000000001</v>
      </c>
      <c r="CN9">
        <v>0.50800000000000001</v>
      </c>
      <c r="CO9">
        <f t="shared" si="2"/>
        <v>50.8</v>
      </c>
      <c r="CP9" s="1">
        <f t="shared" si="31"/>
        <v>-15.400000000000006</v>
      </c>
      <c r="CQ9" s="1">
        <f t="shared" si="32"/>
        <v>237.16000000000017</v>
      </c>
      <c r="CR9" s="1">
        <f t="shared" si="33"/>
        <v>-0.23262839879154085</v>
      </c>
    </row>
    <row r="10" spans="1:96" x14ac:dyDescent="0.3">
      <c r="A10">
        <v>8.0939999999999994</v>
      </c>
      <c r="B10">
        <v>15.891</v>
      </c>
      <c r="C10">
        <v>8</v>
      </c>
      <c r="D10">
        <v>0.44800000000000001</v>
      </c>
      <c r="E10">
        <f t="shared" si="3"/>
        <v>44.800000000000004</v>
      </c>
      <c r="G10">
        <v>8</v>
      </c>
      <c r="H10">
        <v>8.03749</v>
      </c>
      <c r="I10">
        <v>15.83967</v>
      </c>
      <c r="J10">
        <v>0.39600000000000002</v>
      </c>
      <c r="K10">
        <v>44.6</v>
      </c>
      <c r="L10" s="1">
        <f t="shared" si="4"/>
        <v>-0.20000000000000284</v>
      </c>
      <c r="M10" s="1">
        <f t="shared" si="5"/>
        <v>4.0000000000001139E-2</v>
      </c>
      <c r="N10" s="1">
        <f t="shared" si="6"/>
        <v>-4.4642857142858094E-3</v>
      </c>
      <c r="Q10">
        <v>8</v>
      </c>
      <c r="R10">
        <v>7.9509999999999996</v>
      </c>
      <c r="S10">
        <v>15.955</v>
      </c>
      <c r="T10">
        <v>0.44</v>
      </c>
      <c r="U10">
        <v>37.799999999999997</v>
      </c>
      <c r="V10" s="1">
        <f t="shared" si="7"/>
        <v>-7.0000000000000071</v>
      </c>
      <c r="W10" s="1">
        <f t="shared" si="8"/>
        <v>49.000000000000099</v>
      </c>
      <c r="X10" s="1">
        <f t="shared" si="9"/>
        <v>-0.15625000000000011</v>
      </c>
      <c r="Z10">
        <v>8</v>
      </c>
      <c r="AA10">
        <v>7.9960000000000004</v>
      </c>
      <c r="AB10">
        <v>15.884</v>
      </c>
      <c r="AC10">
        <v>0.378</v>
      </c>
      <c r="AD10">
        <v>44</v>
      </c>
      <c r="AE10" s="1">
        <f t="shared" si="10"/>
        <v>-0.80000000000000426</v>
      </c>
      <c r="AF10" s="1">
        <f t="shared" si="11"/>
        <v>0.64000000000000679</v>
      </c>
      <c r="AG10" s="1">
        <f t="shared" si="12"/>
        <v>-1.7857142857142905E-2</v>
      </c>
      <c r="AI10">
        <v>8</v>
      </c>
      <c r="AJ10">
        <v>8.1739999999999995</v>
      </c>
      <c r="AK10">
        <v>15.811</v>
      </c>
      <c r="AL10">
        <v>0.40100000000000002</v>
      </c>
      <c r="AM10">
        <v>40.1</v>
      </c>
      <c r="AN10" s="1">
        <f t="shared" si="13"/>
        <v>-4.7000000000000028</v>
      </c>
      <c r="AO10" s="1">
        <f t="shared" si="14"/>
        <v>22.090000000000028</v>
      </c>
      <c r="AP10" s="1">
        <f t="shared" si="15"/>
        <v>-0.1049107142857143</v>
      </c>
      <c r="AR10">
        <v>8</v>
      </c>
      <c r="AS10">
        <v>7.9269999999999996</v>
      </c>
      <c r="AT10">
        <v>15.971</v>
      </c>
      <c r="AU10">
        <v>0.44600000000000001</v>
      </c>
      <c r="AV10">
        <v>39.6</v>
      </c>
      <c r="AW10" s="1">
        <f t="shared" si="16"/>
        <v>-5.2000000000000028</v>
      </c>
      <c r="AX10" s="1">
        <f t="shared" si="17"/>
        <v>27.040000000000031</v>
      </c>
      <c r="AY10" s="1">
        <f t="shared" si="18"/>
        <v>-0.1160714285714286</v>
      </c>
      <c r="BA10">
        <v>8</v>
      </c>
      <c r="BB10">
        <v>7.96</v>
      </c>
      <c r="BC10">
        <v>15.871</v>
      </c>
      <c r="BD10">
        <v>0.38</v>
      </c>
      <c r="BE10">
        <v>38</v>
      </c>
      <c r="BF10" s="1">
        <f t="shared" si="19"/>
        <v>-6.8000000000000043</v>
      </c>
      <c r="BG10" s="1">
        <f t="shared" si="20"/>
        <v>46.240000000000059</v>
      </c>
      <c r="BH10" s="1">
        <f t="shared" si="21"/>
        <v>-0.15178571428571441</v>
      </c>
      <c r="BJ10">
        <v>8</v>
      </c>
      <c r="BK10">
        <v>8.19</v>
      </c>
      <c r="BL10">
        <v>15.981999999999999</v>
      </c>
      <c r="BM10">
        <v>0.27900000000000003</v>
      </c>
      <c r="BN10">
        <v>27.9</v>
      </c>
      <c r="BO10" s="1">
        <f t="shared" si="22"/>
        <v>-16.900000000000006</v>
      </c>
      <c r="BP10" s="1">
        <f t="shared" si="23"/>
        <v>285.61000000000018</v>
      </c>
      <c r="BQ10" s="1">
        <f t="shared" si="24"/>
        <v>-0.3772321428571429</v>
      </c>
      <c r="BS10">
        <v>8</v>
      </c>
      <c r="BT10">
        <v>8.1300000000000008</v>
      </c>
      <c r="BU10">
        <v>15.81</v>
      </c>
      <c r="BV10">
        <v>0.36</v>
      </c>
      <c r="BW10">
        <f t="shared" si="0"/>
        <v>36</v>
      </c>
      <c r="BX10" s="1">
        <f t="shared" si="25"/>
        <v>-8.8000000000000043</v>
      </c>
      <c r="BY10" s="1">
        <f t="shared" si="26"/>
        <v>77.440000000000069</v>
      </c>
      <c r="BZ10" s="1">
        <f t="shared" si="27"/>
        <v>-0.19642857142857151</v>
      </c>
      <c r="CB10">
        <v>8</v>
      </c>
      <c r="CC10">
        <v>8.048</v>
      </c>
      <c r="CD10">
        <v>15.855</v>
      </c>
      <c r="CE10">
        <v>0.36699999999999999</v>
      </c>
      <c r="CF10">
        <f t="shared" si="1"/>
        <v>36.700000000000003</v>
      </c>
      <c r="CG10" s="1">
        <f t="shared" si="28"/>
        <v>-8.1000000000000014</v>
      </c>
      <c r="CH10" s="1">
        <f t="shared" si="29"/>
        <v>65.610000000000028</v>
      </c>
      <c r="CI10" s="1">
        <f t="shared" si="30"/>
        <v>-0.1808035714285714</v>
      </c>
      <c r="CK10">
        <v>8</v>
      </c>
      <c r="CL10">
        <v>7.8310000000000004</v>
      </c>
      <c r="CM10">
        <v>15.936999999999999</v>
      </c>
      <c r="CN10">
        <v>0.316</v>
      </c>
      <c r="CO10">
        <f t="shared" si="2"/>
        <v>31.6</v>
      </c>
      <c r="CP10" s="1">
        <f t="shared" si="31"/>
        <v>-13.200000000000003</v>
      </c>
      <c r="CQ10" s="1">
        <f t="shared" si="32"/>
        <v>174.24000000000007</v>
      </c>
      <c r="CR10" s="1">
        <f t="shared" si="33"/>
        <v>-0.29464285714285721</v>
      </c>
    </row>
    <row r="11" spans="1:96" x14ac:dyDescent="0.3">
      <c r="A11">
        <v>12.98</v>
      </c>
      <c r="B11">
        <v>-15.595000000000001</v>
      </c>
      <c r="C11">
        <v>9</v>
      </c>
      <c r="D11">
        <v>0.26700000000000002</v>
      </c>
      <c r="E11">
        <f t="shared" si="3"/>
        <v>26.700000000000003</v>
      </c>
      <c r="G11">
        <v>9</v>
      </c>
      <c r="H11">
        <v>12.9658</v>
      </c>
      <c r="I11">
        <v>-15.660030000000001</v>
      </c>
      <c r="J11">
        <v>0.23799999999999999</v>
      </c>
      <c r="K11">
        <v>26.1</v>
      </c>
      <c r="L11" s="1">
        <f t="shared" si="4"/>
        <v>-0.60000000000000142</v>
      </c>
      <c r="M11" s="1">
        <f t="shared" si="5"/>
        <v>0.36000000000000171</v>
      </c>
      <c r="N11" s="1">
        <f t="shared" si="6"/>
        <v>-2.2471910112359605E-2</v>
      </c>
      <c r="Q11">
        <v>9</v>
      </c>
      <c r="R11">
        <v>13.121</v>
      </c>
      <c r="S11">
        <v>-15.54</v>
      </c>
      <c r="T11">
        <v>0.248</v>
      </c>
      <c r="U11">
        <v>24</v>
      </c>
      <c r="V11" s="1">
        <f t="shared" si="7"/>
        <v>-2.7000000000000028</v>
      </c>
      <c r="W11" s="1">
        <f t="shared" si="8"/>
        <v>7.2900000000000151</v>
      </c>
      <c r="X11" s="1">
        <f t="shared" si="9"/>
        <v>-0.10112359550561811</v>
      </c>
      <c r="Z11">
        <v>9</v>
      </c>
      <c r="AA11">
        <v>13.087999999999999</v>
      </c>
      <c r="AB11">
        <v>-15.582000000000001</v>
      </c>
      <c r="AC11">
        <v>0.24</v>
      </c>
      <c r="AD11">
        <v>24.8</v>
      </c>
      <c r="AE11" s="1">
        <f t="shared" si="10"/>
        <v>-1.9000000000000021</v>
      </c>
      <c r="AF11" s="1">
        <f t="shared" si="11"/>
        <v>3.6100000000000083</v>
      </c>
      <c r="AG11" s="1">
        <f t="shared" si="12"/>
        <v>-7.116104868913864E-2</v>
      </c>
      <c r="AI11">
        <v>9</v>
      </c>
      <c r="AJ11">
        <v>12.920999999999999</v>
      </c>
      <c r="AK11">
        <v>-15.715</v>
      </c>
      <c r="AL11">
        <v>0.247</v>
      </c>
      <c r="AM11">
        <v>24.7</v>
      </c>
      <c r="AN11" s="1">
        <f t="shared" si="13"/>
        <v>-2.0000000000000036</v>
      </c>
      <c r="AO11" s="1">
        <f t="shared" si="14"/>
        <v>4.0000000000000142</v>
      </c>
      <c r="AP11" s="1">
        <f t="shared" si="15"/>
        <v>-7.4906367041198574E-2</v>
      </c>
      <c r="AR11">
        <v>9</v>
      </c>
      <c r="AS11">
        <v>13.129</v>
      </c>
      <c r="AT11">
        <v>-15.552</v>
      </c>
      <c r="AU11">
        <v>0.26100000000000001</v>
      </c>
      <c r="AV11">
        <v>23.8</v>
      </c>
      <c r="AW11" s="1">
        <f t="shared" si="16"/>
        <v>-2.9000000000000021</v>
      </c>
      <c r="AX11" s="1">
        <f t="shared" si="17"/>
        <v>8.4100000000000126</v>
      </c>
      <c r="AY11" s="1">
        <f t="shared" si="18"/>
        <v>-0.10861423220973787</v>
      </c>
      <c r="BA11">
        <v>9</v>
      </c>
      <c r="BB11">
        <v>13.089</v>
      </c>
      <c r="BC11">
        <v>-15.404999999999999</v>
      </c>
      <c r="BD11">
        <v>0.24399999999999999</v>
      </c>
      <c r="BE11">
        <v>24.4</v>
      </c>
      <c r="BF11" s="1">
        <f t="shared" si="19"/>
        <v>-2.3000000000000043</v>
      </c>
      <c r="BG11" s="1">
        <f t="shared" si="20"/>
        <v>5.2900000000000196</v>
      </c>
      <c r="BH11" s="1">
        <f t="shared" si="21"/>
        <v>-8.6142322097378377E-2</v>
      </c>
      <c r="BJ11">
        <v>9</v>
      </c>
      <c r="BK11">
        <v>12.939</v>
      </c>
      <c r="BL11">
        <v>-15.662000000000001</v>
      </c>
      <c r="BM11">
        <v>0.2</v>
      </c>
      <c r="BN11">
        <v>20</v>
      </c>
      <c r="BO11" s="1">
        <f t="shared" si="22"/>
        <v>-6.7000000000000028</v>
      </c>
      <c r="BP11" s="1">
        <f t="shared" si="23"/>
        <v>44.890000000000036</v>
      </c>
      <c r="BQ11" s="1">
        <f t="shared" si="24"/>
        <v>-0.25093632958801504</v>
      </c>
      <c r="BS11">
        <v>9</v>
      </c>
      <c r="BT11">
        <v>12.914999999999999</v>
      </c>
      <c r="BU11">
        <v>-15.69</v>
      </c>
      <c r="BV11">
        <v>0.24399999999999999</v>
      </c>
      <c r="BW11">
        <f t="shared" si="0"/>
        <v>24.4</v>
      </c>
      <c r="BX11" s="1">
        <f t="shared" si="25"/>
        <v>-2.3000000000000043</v>
      </c>
      <c r="BY11" s="1">
        <f t="shared" si="26"/>
        <v>5.2900000000000196</v>
      </c>
      <c r="BZ11" s="1">
        <f t="shared" si="27"/>
        <v>-8.6142322097378377E-2</v>
      </c>
      <c r="CB11">
        <v>9</v>
      </c>
      <c r="CC11">
        <v>13.031000000000001</v>
      </c>
      <c r="CD11">
        <v>-15.614000000000001</v>
      </c>
      <c r="CE11">
        <v>0.24</v>
      </c>
      <c r="CF11">
        <f t="shared" si="1"/>
        <v>24</v>
      </c>
      <c r="CG11" s="1">
        <f t="shared" si="28"/>
        <v>-2.7000000000000028</v>
      </c>
      <c r="CH11" s="1">
        <f t="shared" si="29"/>
        <v>7.2900000000000151</v>
      </c>
      <c r="CI11" s="1">
        <f t="shared" si="30"/>
        <v>-0.10112359550561811</v>
      </c>
      <c r="CK11">
        <v>9</v>
      </c>
      <c r="CL11">
        <v>13.145</v>
      </c>
      <c r="CM11">
        <v>-15.47</v>
      </c>
      <c r="CN11">
        <v>0.218</v>
      </c>
      <c r="CO11">
        <f t="shared" si="2"/>
        <v>21.8</v>
      </c>
      <c r="CP11" s="1">
        <f t="shared" si="31"/>
        <v>-4.9000000000000021</v>
      </c>
      <c r="CQ11" s="1">
        <f t="shared" si="32"/>
        <v>24.010000000000019</v>
      </c>
      <c r="CR11" s="1">
        <f t="shared" si="33"/>
        <v>-0.18352059925093644</v>
      </c>
    </row>
    <row r="12" spans="1:96" x14ac:dyDescent="0.3">
      <c r="A12">
        <v>12.744999999999999</v>
      </c>
      <c r="B12">
        <v>-3.4039999999999999</v>
      </c>
      <c r="C12">
        <v>10</v>
      </c>
      <c r="D12">
        <v>0.28799999999999998</v>
      </c>
      <c r="E12">
        <f t="shared" si="3"/>
        <v>28.799999999999997</v>
      </c>
      <c r="G12">
        <v>10</v>
      </c>
      <c r="H12">
        <v>12.68857</v>
      </c>
      <c r="I12">
        <v>-3.43919</v>
      </c>
      <c r="J12">
        <v>0.28299999999999997</v>
      </c>
      <c r="K12">
        <v>27.7</v>
      </c>
      <c r="L12" s="1">
        <f t="shared" si="4"/>
        <v>-1.0999999999999979</v>
      </c>
      <c r="M12" s="1">
        <f t="shared" si="5"/>
        <v>1.2099999999999953</v>
      </c>
      <c r="N12" s="1">
        <f t="shared" si="6"/>
        <v>-3.819444444444442E-2</v>
      </c>
      <c r="Q12">
        <v>10</v>
      </c>
      <c r="R12">
        <v>12.743</v>
      </c>
      <c r="S12">
        <v>-3.31</v>
      </c>
      <c r="T12">
        <v>0.28100000000000003</v>
      </c>
      <c r="U12">
        <v>29.9</v>
      </c>
      <c r="V12" s="1">
        <f t="shared" si="7"/>
        <v>1.1000000000000014</v>
      </c>
      <c r="W12" s="1">
        <f t="shared" si="8"/>
        <v>1.2100000000000031</v>
      </c>
      <c r="X12" s="1">
        <f t="shared" si="9"/>
        <v>3.819444444444442E-2</v>
      </c>
      <c r="Z12">
        <v>10</v>
      </c>
      <c r="AA12">
        <v>12.737</v>
      </c>
      <c r="AB12">
        <v>-3.3620000000000001</v>
      </c>
      <c r="AC12">
        <v>0.29899999999999999</v>
      </c>
      <c r="AD12">
        <v>28.1</v>
      </c>
      <c r="AE12" s="1">
        <f t="shared" si="10"/>
        <v>-0.69999999999999574</v>
      </c>
      <c r="AF12" s="1">
        <f t="shared" si="11"/>
        <v>0.48999999999999405</v>
      </c>
      <c r="AG12" s="1">
        <f t="shared" si="12"/>
        <v>-2.4305555555555358E-2</v>
      </c>
      <c r="AI12">
        <v>10</v>
      </c>
      <c r="AJ12">
        <v>12.714</v>
      </c>
      <c r="AK12">
        <v>-3.488</v>
      </c>
      <c r="AL12">
        <v>0.28100000000000003</v>
      </c>
      <c r="AM12">
        <v>28.1</v>
      </c>
      <c r="AN12" s="1">
        <f t="shared" si="13"/>
        <v>-0.69999999999999574</v>
      </c>
      <c r="AO12" s="1">
        <f t="shared" si="14"/>
        <v>0.48999999999999405</v>
      </c>
      <c r="AP12" s="1">
        <f t="shared" si="15"/>
        <v>-2.4305555555555358E-2</v>
      </c>
      <c r="AR12">
        <v>10</v>
      </c>
      <c r="AS12">
        <v>12.75</v>
      </c>
      <c r="AT12">
        <v>-3.319</v>
      </c>
      <c r="AU12">
        <v>0.27700000000000002</v>
      </c>
      <c r="AV12">
        <v>28.3</v>
      </c>
      <c r="AW12" s="1">
        <f t="shared" si="16"/>
        <v>-0.49999999999999645</v>
      </c>
      <c r="AX12" s="1">
        <f t="shared" si="17"/>
        <v>0.24999999999999645</v>
      </c>
      <c r="AY12" s="1">
        <f t="shared" si="18"/>
        <v>-1.7361111111110938E-2</v>
      </c>
      <c r="BA12">
        <v>10</v>
      </c>
      <c r="BB12">
        <v>12.737</v>
      </c>
      <c r="BC12">
        <v>-3.266</v>
      </c>
      <c r="BD12">
        <v>0.26400000000000001</v>
      </c>
      <c r="BE12">
        <v>26.4</v>
      </c>
      <c r="BF12" s="1">
        <f t="shared" si="19"/>
        <v>-2.3999999999999986</v>
      </c>
      <c r="BG12" s="1">
        <f t="shared" si="20"/>
        <v>5.7599999999999936</v>
      </c>
      <c r="BH12" s="1">
        <f t="shared" si="21"/>
        <v>-8.3333333333333259E-2</v>
      </c>
      <c r="BJ12">
        <v>10</v>
      </c>
      <c r="BK12">
        <v>12.686999999999999</v>
      </c>
      <c r="BL12">
        <v>-3.4780000000000002</v>
      </c>
      <c r="BM12">
        <v>0.27500000000000002</v>
      </c>
      <c r="BN12">
        <v>27.5</v>
      </c>
      <c r="BO12" s="1">
        <f t="shared" si="22"/>
        <v>-1.2999999999999972</v>
      </c>
      <c r="BP12" s="1">
        <f t="shared" si="23"/>
        <v>1.6899999999999926</v>
      </c>
      <c r="BQ12" s="1">
        <f t="shared" si="24"/>
        <v>-4.513888888888884E-2</v>
      </c>
      <c r="BS12">
        <v>10</v>
      </c>
      <c r="BT12">
        <v>12.691000000000001</v>
      </c>
      <c r="BU12">
        <v>-3.4470000000000001</v>
      </c>
      <c r="BV12">
        <v>0.27700000000000002</v>
      </c>
      <c r="BW12">
        <f t="shared" si="0"/>
        <v>27.700000000000003</v>
      </c>
      <c r="BX12" s="1">
        <f t="shared" si="25"/>
        <v>-1.0999999999999943</v>
      </c>
      <c r="BY12" s="1">
        <f t="shared" si="26"/>
        <v>1.2099999999999875</v>
      </c>
      <c r="BZ12" s="1">
        <f t="shared" si="27"/>
        <v>-3.8194444444444198E-2</v>
      </c>
      <c r="CB12">
        <v>10</v>
      </c>
      <c r="CC12">
        <v>12.718</v>
      </c>
      <c r="CD12">
        <v>-3.395</v>
      </c>
      <c r="CE12">
        <v>0.27600000000000002</v>
      </c>
      <c r="CF12">
        <f t="shared" si="1"/>
        <v>27.6</v>
      </c>
      <c r="CG12" s="1">
        <f t="shared" si="28"/>
        <v>-1.1999999999999957</v>
      </c>
      <c r="CH12" s="1">
        <f t="shared" si="29"/>
        <v>1.4399999999999897</v>
      </c>
      <c r="CI12" s="1">
        <f t="shared" si="30"/>
        <v>-4.1666666666666519E-2</v>
      </c>
      <c r="CK12">
        <v>10</v>
      </c>
      <c r="CL12">
        <v>12.747</v>
      </c>
      <c r="CM12">
        <v>-3.2490000000000001</v>
      </c>
      <c r="CN12">
        <v>0.27300000000000002</v>
      </c>
      <c r="CO12">
        <f t="shared" si="2"/>
        <v>27.3</v>
      </c>
      <c r="CP12" s="1">
        <f t="shared" si="31"/>
        <v>-1.4999999999999964</v>
      </c>
      <c r="CQ12" s="1">
        <f t="shared" si="32"/>
        <v>2.2499999999999893</v>
      </c>
      <c r="CR12" s="1">
        <f t="shared" si="33"/>
        <v>-5.2083333333333259E-2</v>
      </c>
    </row>
    <row r="13" spans="1:96" x14ac:dyDescent="0.3">
      <c r="A13">
        <v>14.054</v>
      </c>
      <c r="B13">
        <v>2.2770000000000001</v>
      </c>
      <c r="C13">
        <v>11</v>
      </c>
      <c r="D13">
        <v>0.26800000000000002</v>
      </c>
      <c r="E13">
        <f t="shared" si="3"/>
        <v>26.8</v>
      </c>
      <c r="G13">
        <v>11</v>
      </c>
      <c r="H13">
        <v>13.99563</v>
      </c>
      <c r="I13">
        <v>2.2286299999999999</v>
      </c>
      <c r="J13">
        <v>0.28199999999999997</v>
      </c>
      <c r="K13">
        <v>28.1</v>
      </c>
      <c r="L13" s="1">
        <f t="shared" si="4"/>
        <v>1.3000000000000007</v>
      </c>
      <c r="M13" s="1">
        <f t="shared" si="5"/>
        <v>1.6900000000000019</v>
      </c>
      <c r="N13" s="1">
        <f t="shared" si="6"/>
        <v>4.8507462686567138E-2</v>
      </c>
      <c r="Q13">
        <v>11</v>
      </c>
      <c r="R13">
        <v>14.005000000000001</v>
      </c>
      <c r="S13">
        <v>2.3620000000000001</v>
      </c>
      <c r="T13">
        <v>0.29399999999999998</v>
      </c>
      <c r="U13">
        <v>28.6</v>
      </c>
      <c r="V13" s="1">
        <f t="shared" si="7"/>
        <v>1.8000000000000007</v>
      </c>
      <c r="W13" s="1">
        <f t="shared" si="8"/>
        <v>3.2400000000000024</v>
      </c>
      <c r="X13" s="1">
        <f t="shared" si="9"/>
        <v>6.7164179104477695E-2</v>
      </c>
      <c r="Z13">
        <v>11</v>
      </c>
      <c r="AA13">
        <v>14.022</v>
      </c>
      <c r="AB13">
        <v>2.306</v>
      </c>
      <c r="AC13">
        <v>0.28599999999999998</v>
      </c>
      <c r="AD13">
        <v>29.4</v>
      </c>
      <c r="AE13" s="1">
        <f t="shared" si="10"/>
        <v>2.5999999999999979</v>
      </c>
      <c r="AF13" s="1">
        <f t="shared" si="11"/>
        <v>6.7599999999999891</v>
      </c>
      <c r="AG13" s="1">
        <f t="shared" si="12"/>
        <v>9.7014925373134275E-2</v>
      </c>
      <c r="AI13">
        <v>11</v>
      </c>
      <c r="AJ13">
        <v>14.053000000000001</v>
      </c>
      <c r="AK13">
        <v>2.161</v>
      </c>
      <c r="AL13">
        <v>0.26600000000000001</v>
      </c>
      <c r="AM13">
        <v>26.6</v>
      </c>
      <c r="AN13" s="1">
        <f t="shared" si="13"/>
        <v>-0.19999999999999929</v>
      </c>
      <c r="AO13" s="1">
        <f t="shared" si="14"/>
        <v>3.9999999999999716E-2</v>
      </c>
      <c r="AP13" s="1">
        <f t="shared" si="15"/>
        <v>-7.4626865671642006E-3</v>
      </c>
      <c r="AR13">
        <v>11</v>
      </c>
      <c r="AS13">
        <v>14.016</v>
      </c>
      <c r="AT13">
        <v>2.3519999999999999</v>
      </c>
      <c r="AU13">
        <v>0.28100000000000003</v>
      </c>
      <c r="AV13">
        <v>28.2</v>
      </c>
      <c r="AW13" s="1">
        <f t="shared" si="16"/>
        <v>1.3999999999999986</v>
      </c>
      <c r="AX13" s="1">
        <f t="shared" si="17"/>
        <v>1.959999999999996</v>
      </c>
      <c r="AY13" s="1">
        <f t="shared" si="18"/>
        <v>5.2238805970149294E-2</v>
      </c>
      <c r="BA13">
        <v>11</v>
      </c>
      <c r="BB13">
        <v>14.019</v>
      </c>
      <c r="BC13">
        <v>2.3879999999999999</v>
      </c>
      <c r="BD13">
        <v>0.29199999999999998</v>
      </c>
      <c r="BE13">
        <v>29.2</v>
      </c>
      <c r="BF13" s="1">
        <f t="shared" si="19"/>
        <v>2.3999999999999986</v>
      </c>
      <c r="BG13" s="1">
        <f t="shared" si="20"/>
        <v>5.7599999999999936</v>
      </c>
      <c r="BH13" s="1">
        <f t="shared" si="21"/>
        <v>8.9552238805970186E-2</v>
      </c>
      <c r="BJ13">
        <v>11</v>
      </c>
      <c r="BK13">
        <v>14.016999999999999</v>
      </c>
      <c r="BL13">
        <v>2.1890000000000001</v>
      </c>
      <c r="BM13">
        <v>0.27200000000000002</v>
      </c>
      <c r="BN13">
        <v>27.2</v>
      </c>
      <c r="BO13" s="1">
        <f t="shared" si="22"/>
        <v>0.39999999999999858</v>
      </c>
      <c r="BP13" s="1">
        <f t="shared" si="23"/>
        <v>0.15999999999999887</v>
      </c>
      <c r="BQ13" s="1">
        <f t="shared" si="24"/>
        <v>1.4925373134328401E-2</v>
      </c>
      <c r="BS13">
        <v>11</v>
      </c>
      <c r="BT13">
        <v>14.034000000000001</v>
      </c>
      <c r="BU13">
        <v>2.2040000000000002</v>
      </c>
      <c r="BV13">
        <v>0.29699999999999999</v>
      </c>
      <c r="BW13">
        <f t="shared" si="0"/>
        <v>29.7</v>
      </c>
      <c r="BX13" s="1">
        <f t="shared" si="25"/>
        <v>2.8999999999999986</v>
      </c>
      <c r="BY13" s="1">
        <f t="shared" si="26"/>
        <v>8.4099999999999913</v>
      </c>
      <c r="BZ13" s="1">
        <f t="shared" si="27"/>
        <v>0.10820895522388052</v>
      </c>
      <c r="CB13">
        <v>11</v>
      </c>
      <c r="CC13">
        <v>14.016</v>
      </c>
      <c r="CD13">
        <v>2.2679999999999998</v>
      </c>
      <c r="CE13">
        <v>0.29499999999999998</v>
      </c>
      <c r="CF13">
        <f t="shared" si="1"/>
        <v>29.5</v>
      </c>
      <c r="CG13" s="1">
        <f t="shared" si="28"/>
        <v>2.6999999999999993</v>
      </c>
      <c r="CH13" s="1">
        <f t="shared" si="29"/>
        <v>7.2899999999999965</v>
      </c>
      <c r="CI13" s="1">
        <f t="shared" si="30"/>
        <v>0.10074626865671643</v>
      </c>
      <c r="CK13">
        <v>11</v>
      </c>
      <c r="CL13">
        <v>13.984</v>
      </c>
      <c r="CM13">
        <v>2.419</v>
      </c>
      <c r="CN13">
        <v>0.26700000000000002</v>
      </c>
      <c r="CO13">
        <f t="shared" si="2"/>
        <v>26.700000000000003</v>
      </c>
      <c r="CP13" s="1">
        <f t="shared" si="31"/>
        <v>-9.9999999999997868E-2</v>
      </c>
      <c r="CQ13" s="1">
        <f t="shared" si="32"/>
        <v>9.9999999999995735E-3</v>
      </c>
      <c r="CR13" s="1">
        <f t="shared" si="33"/>
        <v>-3.7313432835820448E-3</v>
      </c>
    </row>
    <row r="14" spans="1:96" x14ac:dyDescent="0.3">
      <c r="A14">
        <v>13.657</v>
      </c>
      <c r="B14">
        <v>15.147</v>
      </c>
      <c r="C14">
        <v>12</v>
      </c>
      <c r="D14">
        <v>0.22</v>
      </c>
      <c r="E14">
        <f t="shared" si="3"/>
        <v>22</v>
      </c>
      <c r="G14">
        <v>12</v>
      </c>
      <c r="H14">
        <v>13.58972</v>
      </c>
      <c r="I14">
        <v>15.10994</v>
      </c>
      <c r="J14">
        <v>0.19600000000000001</v>
      </c>
      <c r="K14">
        <v>20.2</v>
      </c>
      <c r="L14" s="1">
        <f t="shared" si="4"/>
        <v>-1.8000000000000007</v>
      </c>
      <c r="M14" s="1">
        <f t="shared" si="5"/>
        <v>3.2400000000000024</v>
      </c>
      <c r="N14" s="1">
        <f t="shared" si="6"/>
        <v>-8.1818181818181901E-2</v>
      </c>
      <c r="Q14">
        <v>12</v>
      </c>
      <c r="R14">
        <v>13.503</v>
      </c>
      <c r="S14">
        <v>15.238</v>
      </c>
      <c r="T14">
        <v>0.21</v>
      </c>
      <c r="U14">
        <v>19.5</v>
      </c>
      <c r="V14" s="1">
        <f t="shared" si="7"/>
        <v>-2.5</v>
      </c>
      <c r="W14" s="1">
        <f t="shared" si="8"/>
        <v>6.25</v>
      </c>
      <c r="X14" s="1">
        <f t="shared" si="9"/>
        <v>-0.11363636363636365</v>
      </c>
      <c r="Z14">
        <v>12</v>
      </c>
      <c r="AA14">
        <v>13.558999999999999</v>
      </c>
      <c r="AB14">
        <v>15.191000000000001</v>
      </c>
      <c r="AC14">
        <v>0.19500000000000001</v>
      </c>
      <c r="AD14">
        <v>21</v>
      </c>
      <c r="AE14" s="1">
        <f t="shared" si="10"/>
        <v>-1</v>
      </c>
      <c r="AF14" s="1">
        <f t="shared" si="11"/>
        <v>1</v>
      </c>
      <c r="AG14" s="1">
        <f t="shared" si="12"/>
        <v>-4.5454545454545414E-2</v>
      </c>
      <c r="AI14">
        <v>12</v>
      </c>
      <c r="AJ14">
        <v>13.712</v>
      </c>
      <c r="AK14">
        <v>15.032</v>
      </c>
      <c r="AL14">
        <v>0.185</v>
      </c>
      <c r="AM14">
        <v>18.5</v>
      </c>
      <c r="AN14" s="1">
        <f t="shared" si="13"/>
        <v>-3.5</v>
      </c>
      <c r="AO14" s="1">
        <f t="shared" si="14"/>
        <v>12.25</v>
      </c>
      <c r="AP14" s="1">
        <f t="shared" si="15"/>
        <v>-0.15909090909090906</v>
      </c>
      <c r="AR14">
        <v>12</v>
      </c>
      <c r="AS14">
        <v>13.528</v>
      </c>
      <c r="AT14">
        <v>15.226000000000001</v>
      </c>
      <c r="AU14">
        <v>0.20200000000000001</v>
      </c>
      <c r="AV14">
        <v>19.600000000000001</v>
      </c>
      <c r="AW14" s="1">
        <f t="shared" si="16"/>
        <v>-2.3999999999999986</v>
      </c>
      <c r="AX14" s="1">
        <f t="shared" si="17"/>
        <v>5.7599999999999936</v>
      </c>
      <c r="AY14" s="1">
        <f t="shared" si="18"/>
        <v>-0.10909090909090902</v>
      </c>
      <c r="BA14">
        <v>12</v>
      </c>
      <c r="BB14">
        <v>0</v>
      </c>
      <c r="BC14">
        <v>0</v>
      </c>
      <c r="BD14">
        <v>0</v>
      </c>
      <c r="BE14">
        <v>0</v>
      </c>
      <c r="BF14" s="1">
        <f t="shared" si="19"/>
        <v>-22</v>
      </c>
      <c r="BG14" s="1">
        <f t="shared" si="20"/>
        <v>484</v>
      </c>
      <c r="BH14" s="1">
        <f t="shared" si="21"/>
        <v>-1</v>
      </c>
      <c r="BJ14">
        <v>12</v>
      </c>
      <c r="BK14">
        <v>0</v>
      </c>
      <c r="BL14">
        <v>0</v>
      </c>
      <c r="BM14">
        <v>0</v>
      </c>
      <c r="BN14">
        <v>0</v>
      </c>
      <c r="BO14" s="1">
        <f t="shared" si="22"/>
        <v>-22</v>
      </c>
      <c r="BP14" s="1">
        <f t="shared" si="23"/>
        <v>484</v>
      </c>
      <c r="BQ14" s="1">
        <f t="shared" si="24"/>
        <v>-1</v>
      </c>
      <c r="BS14">
        <v>12</v>
      </c>
      <c r="BT14">
        <v>13.696999999999999</v>
      </c>
      <c r="BU14">
        <v>15.085000000000001</v>
      </c>
      <c r="BV14">
        <v>0.19</v>
      </c>
      <c r="BW14">
        <f t="shared" si="0"/>
        <v>19</v>
      </c>
      <c r="BX14" s="1">
        <f t="shared" si="25"/>
        <v>-3</v>
      </c>
      <c r="BY14" s="1">
        <f t="shared" si="26"/>
        <v>9</v>
      </c>
      <c r="BZ14" s="1">
        <f t="shared" si="27"/>
        <v>-0.13636363636363635</v>
      </c>
      <c r="CB14">
        <v>12</v>
      </c>
      <c r="CC14">
        <v>13.608000000000001</v>
      </c>
      <c r="CD14">
        <v>15.145</v>
      </c>
      <c r="CE14">
        <v>0.20300000000000001</v>
      </c>
      <c r="CF14">
        <f t="shared" si="1"/>
        <v>20.3</v>
      </c>
      <c r="CG14" s="1">
        <f t="shared" si="28"/>
        <v>-1.6999999999999993</v>
      </c>
      <c r="CH14" s="1">
        <f t="shared" si="29"/>
        <v>2.8899999999999975</v>
      </c>
      <c r="CI14" s="1">
        <f t="shared" si="30"/>
        <v>-7.7272727272727271E-2</v>
      </c>
      <c r="CK14">
        <v>12</v>
      </c>
      <c r="CL14">
        <v>0</v>
      </c>
      <c r="CM14">
        <v>0</v>
      </c>
      <c r="CN14">
        <v>0</v>
      </c>
      <c r="CO14">
        <f t="shared" si="2"/>
        <v>0</v>
      </c>
      <c r="CP14" s="1">
        <f t="shared" si="31"/>
        <v>-22</v>
      </c>
      <c r="CQ14" s="1">
        <f t="shared" si="32"/>
        <v>484</v>
      </c>
      <c r="CR14" s="1">
        <f t="shared" si="33"/>
        <v>-1</v>
      </c>
    </row>
    <row r="15" spans="1:96" x14ac:dyDescent="0.3">
      <c r="A15">
        <v>16.305</v>
      </c>
      <c r="B15">
        <v>22.824000000000002</v>
      </c>
      <c r="C15">
        <v>13</v>
      </c>
      <c r="D15">
        <v>0.438</v>
      </c>
      <c r="E15">
        <f t="shared" si="3"/>
        <v>43.8</v>
      </c>
      <c r="G15">
        <v>13</v>
      </c>
      <c r="H15">
        <v>16.24409</v>
      </c>
      <c r="I15">
        <v>22.777920000000002</v>
      </c>
      <c r="J15">
        <v>0.38800000000000001</v>
      </c>
      <c r="K15">
        <v>36.799999999999997</v>
      </c>
      <c r="L15" s="1">
        <f t="shared" si="4"/>
        <v>-7</v>
      </c>
      <c r="M15" s="1">
        <f t="shared" si="5"/>
        <v>49</v>
      </c>
      <c r="N15" s="1">
        <f t="shared" si="6"/>
        <v>-0.15981735159817356</v>
      </c>
      <c r="Q15">
        <v>13</v>
      </c>
      <c r="R15">
        <v>16.106999999999999</v>
      </c>
      <c r="S15">
        <v>22.916</v>
      </c>
      <c r="T15">
        <v>0.40799999999999997</v>
      </c>
      <c r="U15">
        <v>36.9</v>
      </c>
      <c r="V15" s="1">
        <f t="shared" si="7"/>
        <v>-6.8999999999999986</v>
      </c>
      <c r="W15" s="1">
        <f t="shared" si="8"/>
        <v>47.609999999999978</v>
      </c>
      <c r="X15" s="1">
        <f t="shared" si="9"/>
        <v>-0.15753424657534243</v>
      </c>
      <c r="Z15">
        <v>13</v>
      </c>
      <c r="AA15">
        <v>16.172000000000001</v>
      </c>
      <c r="AB15">
        <v>22.844000000000001</v>
      </c>
      <c r="AC15">
        <v>0.36899999999999999</v>
      </c>
      <c r="AD15">
        <v>40.799999999999997</v>
      </c>
      <c r="AE15" s="1">
        <f t="shared" si="10"/>
        <v>-3</v>
      </c>
      <c r="AF15" s="1">
        <f t="shared" si="11"/>
        <v>9</v>
      </c>
      <c r="AG15" s="1">
        <f t="shared" si="12"/>
        <v>-6.8493150684931559E-2</v>
      </c>
      <c r="AI15">
        <v>13</v>
      </c>
      <c r="AJ15">
        <v>16.433</v>
      </c>
      <c r="AK15">
        <v>22.690999999999999</v>
      </c>
      <c r="AL15">
        <v>0.38700000000000001</v>
      </c>
      <c r="AM15">
        <v>38.700000000000003</v>
      </c>
      <c r="AN15" s="1">
        <f t="shared" si="13"/>
        <v>-5.0999999999999943</v>
      </c>
      <c r="AO15" s="1">
        <f t="shared" si="14"/>
        <v>26.009999999999941</v>
      </c>
      <c r="AP15" s="1">
        <f t="shared" si="15"/>
        <v>-0.11643835616438347</v>
      </c>
      <c r="AR15">
        <v>13</v>
      </c>
      <c r="AS15">
        <v>16.103000000000002</v>
      </c>
      <c r="AT15">
        <v>22.893999999999998</v>
      </c>
      <c r="AU15">
        <v>0.36799999999999999</v>
      </c>
      <c r="AV15">
        <v>38.799999999999997</v>
      </c>
      <c r="AW15" s="1">
        <f t="shared" si="16"/>
        <v>-5</v>
      </c>
      <c r="AX15" s="1">
        <f t="shared" si="17"/>
        <v>25</v>
      </c>
      <c r="AY15" s="1">
        <f t="shared" si="18"/>
        <v>-0.11415525114155256</v>
      </c>
      <c r="BA15">
        <v>13</v>
      </c>
      <c r="BB15">
        <v>16.16</v>
      </c>
      <c r="BC15">
        <v>22.838999999999999</v>
      </c>
      <c r="BD15">
        <v>0.40400000000000003</v>
      </c>
      <c r="BE15">
        <v>40.4</v>
      </c>
      <c r="BF15" s="1">
        <f t="shared" si="19"/>
        <v>-3.3999999999999986</v>
      </c>
      <c r="BG15" s="1">
        <f t="shared" si="20"/>
        <v>11.55999999999999</v>
      </c>
      <c r="BH15" s="1">
        <f t="shared" si="21"/>
        <v>-7.7625570776255648E-2</v>
      </c>
      <c r="BJ15">
        <v>13</v>
      </c>
      <c r="BK15">
        <v>16.352</v>
      </c>
      <c r="BL15">
        <v>22.803999999999998</v>
      </c>
      <c r="BM15">
        <v>0.48499999999999999</v>
      </c>
      <c r="BN15">
        <v>48.5</v>
      </c>
      <c r="BO15" s="1">
        <f t="shared" si="22"/>
        <v>4.7000000000000028</v>
      </c>
      <c r="BP15" s="1">
        <f t="shared" si="23"/>
        <v>22.090000000000028</v>
      </c>
      <c r="BQ15" s="1">
        <f t="shared" si="24"/>
        <v>0.10730593607305949</v>
      </c>
      <c r="BS15">
        <v>13</v>
      </c>
      <c r="BT15">
        <v>16.378</v>
      </c>
      <c r="BU15">
        <v>22.71</v>
      </c>
      <c r="BV15">
        <v>0.371</v>
      </c>
      <c r="BW15">
        <f t="shared" si="0"/>
        <v>37.1</v>
      </c>
      <c r="BX15" s="1">
        <f t="shared" si="25"/>
        <v>-6.6999999999999957</v>
      </c>
      <c r="BY15" s="1">
        <f t="shared" si="26"/>
        <v>44.889999999999944</v>
      </c>
      <c r="BZ15" s="1">
        <f t="shared" si="27"/>
        <v>-0.15296803652968027</v>
      </c>
      <c r="CB15">
        <v>13</v>
      </c>
      <c r="CC15">
        <v>16.25</v>
      </c>
      <c r="CD15">
        <v>22.802</v>
      </c>
      <c r="CE15">
        <v>0.41199999999999998</v>
      </c>
      <c r="CF15">
        <f t="shared" si="1"/>
        <v>41.199999999999996</v>
      </c>
      <c r="CG15" s="1">
        <f t="shared" si="28"/>
        <v>-2.6000000000000014</v>
      </c>
      <c r="CH15" s="1">
        <f t="shared" si="29"/>
        <v>6.7600000000000078</v>
      </c>
      <c r="CI15" s="1">
        <f t="shared" si="30"/>
        <v>-5.9360730593607358E-2</v>
      </c>
      <c r="CK15">
        <v>13</v>
      </c>
      <c r="CL15">
        <v>15.994999999999999</v>
      </c>
      <c r="CM15">
        <v>23.004999999999999</v>
      </c>
      <c r="CN15">
        <v>0.38800000000000001</v>
      </c>
      <c r="CO15">
        <f t="shared" si="2"/>
        <v>38.800000000000004</v>
      </c>
      <c r="CP15" s="1">
        <f t="shared" si="31"/>
        <v>-4.9999999999999929</v>
      </c>
      <c r="CQ15" s="1">
        <f t="shared" si="32"/>
        <v>24.999999999999929</v>
      </c>
      <c r="CR15" s="1">
        <f t="shared" si="33"/>
        <v>-0.11415525114155234</v>
      </c>
    </row>
    <row r="16" spans="1:96" x14ac:dyDescent="0.3">
      <c r="A16">
        <v>16.233000000000001</v>
      </c>
      <c r="B16">
        <v>-11.348000000000001</v>
      </c>
      <c r="C16">
        <v>14</v>
      </c>
      <c r="D16">
        <v>0.20899999999999999</v>
      </c>
      <c r="E16">
        <f t="shared" si="3"/>
        <v>20.9</v>
      </c>
      <c r="G16">
        <v>14</v>
      </c>
      <c r="H16">
        <v>16.184419999999999</v>
      </c>
      <c r="I16">
        <v>-11.392530000000001</v>
      </c>
      <c r="J16">
        <v>0.193</v>
      </c>
      <c r="K16">
        <v>18.899999999999999</v>
      </c>
      <c r="L16" s="1">
        <f t="shared" si="4"/>
        <v>-2</v>
      </c>
      <c r="M16" s="1">
        <f t="shared" si="5"/>
        <v>4</v>
      </c>
      <c r="N16" s="1">
        <f t="shared" si="6"/>
        <v>-9.5693779904306275E-2</v>
      </c>
      <c r="Q16">
        <v>14</v>
      </c>
      <c r="R16">
        <v>16.312999999999999</v>
      </c>
      <c r="S16">
        <v>-11.247999999999999</v>
      </c>
      <c r="T16">
        <v>0.19900000000000001</v>
      </c>
      <c r="U16">
        <v>19.100000000000001</v>
      </c>
      <c r="V16" s="1">
        <f t="shared" si="7"/>
        <v>-1.7999999999999972</v>
      </c>
      <c r="W16" s="1">
        <f t="shared" si="8"/>
        <v>3.2399999999999896</v>
      </c>
      <c r="X16" s="1">
        <f t="shared" si="9"/>
        <v>-8.6124401913875492E-2</v>
      </c>
      <c r="Z16">
        <v>14</v>
      </c>
      <c r="AA16">
        <v>16.277999999999999</v>
      </c>
      <c r="AB16">
        <v>-11.302</v>
      </c>
      <c r="AC16">
        <v>0.191</v>
      </c>
      <c r="AD16">
        <v>19.899999999999999</v>
      </c>
      <c r="AE16" s="1">
        <f t="shared" si="10"/>
        <v>-1</v>
      </c>
      <c r="AF16" s="1">
        <f t="shared" si="11"/>
        <v>1</v>
      </c>
      <c r="AG16" s="1">
        <f t="shared" si="12"/>
        <v>-4.7846889952153138E-2</v>
      </c>
      <c r="AI16">
        <v>14</v>
      </c>
      <c r="AJ16">
        <v>16.169</v>
      </c>
      <c r="AK16">
        <v>-11.465</v>
      </c>
      <c r="AL16">
        <v>0.185</v>
      </c>
      <c r="AM16">
        <v>18.5</v>
      </c>
      <c r="AN16" s="1">
        <f t="shared" si="13"/>
        <v>-2.3999999999999986</v>
      </c>
      <c r="AO16" s="1">
        <f t="shared" si="14"/>
        <v>5.7599999999999936</v>
      </c>
      <c r="AP16" s="1">
        <f t="shared" si="15"/>
        <v>-0.1148325358851674</v>
      </c>
      <c r="AR16">
        <v>14</v>
      </c>
      <c r="AS16">
        <v>16.332000000000001</v>
      </c>
      <c r="AT16">
        <v>-11.257999999999999</v>
      </c>
      <c r="AU16">
        <v>0.189</v>
      </c>
      <c r="AV16">
        <v>19.3</v>
      </c>
      <c r="AW16" s="1">
        <f t="shared" si="16"/>
        <v>-1.5999999999999979</v>
      </c>
      <c r="AX16" s="1">
        <f t="shared" si="17"/>
        <v>2.5599999999999934</v>
      </c>
      <c r="AY16" s="1">
        <f t="shared" si="18"/>
        <v>-7.6555023923444931E-2</v>
      </c>
      <c r="BA16">
        <v>14</v>
      </c>
      <c r="BB16">
        <v>16.292000000000002</v>
      </c>
      <c r="BC16">
        <v>-11.127000000000001</v>
      </c>
      <c r="BD16">
        <v>0.186</v>
      </c>
      <c r="BE16">
        <v>18.600000000000001</v>
      </c>
      <c r="BF16" s="1">
        <f t="shared" si="19"/>
        <v>-2.2999999999999972</v>
      </c>
      <c r="BG16" s="1">
        <f t="shared" si="20"/>
        <v>5.2899999999999867</v>
      </c>
      <c r="BH16" s="1">
        <f t="shared" si="21"/>
        <v>-0.11004784688995206</v>
      </c>
      <c r="BJ16">
        <v>14</v>
      </c>
      <c r="BK16">
        <v>16.173999999999999</v>
      </c>
      <c r="BL16">
        <v>-11.436</v>
      </c>
      <c r="BM16">
        <v>0.182</v>
      </c>
      <c r="BN16">
        <v>18.2</v>
      </c>
      <c r="BO16" s="1">
        <f t="shared" si="22"/>
        <v>-2.6999999999999993</v>
      </c>
      <c r="BP16" s="1">
        <f t="shared" si="23"/>
        <v>7.2899999999999965</v>
      </c>
      <c r="BQ16" s="1">
        <f t="shared" si="24"/>
        <v>-0.12918660287081341</v>
      </c>
      <c r="BS16">
        <v>14</v>
      </c>
      <c r="BT16">
        <v>16.172999999999998</v>
      </c>
      <c r="BU16">
        <v>-11.417999999999999</v>
      </c>
      <c r="BV16">
        <v>0.186</v>
      </c>
      <c r="BW16">
        <f t="shared" si="0"/>
        <v>18.600000000000001</v>
      </c>
      <c r="BX16" s="1">
        <f t="shared" si="25"/>
        <v>-2.2999999999999972</v>
      </c>
      <c r="BY16" s="1">
        <f t="shared" si="26"/>
        <v>5.2899999999999867</v>
      </c>
      <c r="BZ16" s="1">
        <f t="shared" si="27"/>
        <v>-0.11004784688995206</v>
      </c>
      <c r="CB16">
        <v>14</v>
      </c>
      <c r="CC16">
        <v>16.242000000000001</v>
      </c>
      <c r="CD16">
        <v>-11.351000000000001</v>
      </c>
      <c r="CE16">
        <v>0.17799999999999999</v>
      </c>
      <c r="CF16">
        <f t="shared" si="1"/>
        <v>17.8</v>
      </c>
      <c r="CG16" s="1">
        <f t="shared" si="28"/>
        <v>-3.0999999999999979</v>
      </c>
      <c r="CH16" s="1">
        <f t="shared" si="29"/>
        <v>9.609999999999987</v>
      </c>
      <c r="CI16" s="1">
        <f t="shared" si="30"/>
        <v>-0.14832535885167453</v>
      </c>
      <c r="CK16">
        <v>14</v>
      </c>
      <c r="CL16">
        <v>16.347000000000001</v>
      </c>
      <c r="CM16">
        <v>-11.175000000000001</v>
      </c>
      <c r="CN16">
        <v>0.159</v>
      </c>
      <c r="CO16">
        <f t="shared" si="2"/>
        <v>15.9</v>
      </c>
      <c r="CP16" s="1">
        <f t="shared" si="31"/>
        <v>-4.9999999999999982</v>
      </c>
      <c r="CQ16" s="1">
        <f t="shared" si="32"/>
        <v>24.999999999999982</v>
      </c>
      <c r="CR16" s="1">
        <f t="shared" si="33"/>
        <v>-0.23923444976076547</v>
      </c>
    </row>
    <row r="17" spans="1:96" x14ac:dyDescent="0.3">
      <c r="A17">
        <v>15.010999999999999</v>
      </c>
      <c r="B17">
        <v>-6.3319999999999999</v>
      </c>
      <c r="C17">
        <v>15</v>
      </c>
      <c r="D17">
        <v>0.218</v>
      </c>
      <c r="E17">
        <f t="shared" si="3"/>
        <v>21.8</v>
      </c>
      <c r="G17">
        <v>15</v>
      </c>
      <c r="H17">
        <v>14.94604</v>
      </c>
      <c r="I17">
        <v>-6.3794599999999999</v>
      </c>
      <c r="J17">
        <v>0.19800000000000001</v>
      </c>
      <c r="K17">
        <v>21.9</v>
      </c>
      <c r="L17" s="1">
        <f t="shared" si="4"/>
        <v>9.9999999999997868E-2</v>
      </c>
      <c r="M17" s="1">
        <f t="shared" si="5"/>
        <v>9.9999999999995735E-3</v>
      </c>
      <c r="N17" s="1">
        <f t="shared" si="6"/>
        <v>4.5871559633026138E-3</v>
      </c>
      <c r="Q17">
        <v>15</v>
      </c>
      <c r="R17">
        <v>15.03</v>
      </c>
      <c r="S17">
        <v>-6.2430000000000003</v>
      </c>
      <c r="T17">
        <v>0.21</v>
      </c>
      <c r="U17">
        <v>21.4</v>
      </c>
      <c r="V17" s="1">
        <f t="shared" si="7"/>
        <v>-0.40000000000000213</v>
      </c>
      <c r="W17" s="1">
        <f t="shared" si="8"/>
        <v>0.1600000000000017</v>
      </c>
      <c r="X17" s="1">
        <f t="shared" si="9"/>
        <v>-1.8348623853211121E-2</v>
      </c>
      <c r="Z17">
        <v>15</v>
      </c>
      <c r="AA17">
        <v>15.012</v>
      </c>
      <c r="AB17">
        <v>-6.2939999999999996</v>
      </c>
      <c r="AC17">
        <v>0.214</v>
      </c>
      <c r="AD17">
        <v>21</v>
      </c>
      <c r="AE17" s="1">
        <f t="shared" si="10"/>
        <v>-0.80000000000000071</v>
      </c>
      <c r="AF17" s="1">
        <f t="shared" si="11"/>
        <v>0.64000000000000112</v>
      </c>
      <c r="AG17" s="1">
        <f t="shared" si="12"/>
        <v>-3.669724770642202E-2</v>
      </c>
      <c r="AI17">
        <v>15</v>
      </c>
      <c r="AJ17">
        <v>14.955</v>
      </c>
      <c r="AK17">
        <v>-6.4450000000000003</v>
      </c>
      <c r="AL17">
        <v>0.21099999999999999</v>
      </c>
      <c r="AM17">
        <v>21.1</v>
      </c>
      <c r="AN17" s="1">
        <f t="shared" si="13"/>
        <v>-0.69999999999999929</v>
      </c>
      <c r="AO17" s="1">
        <f t="shared" si="14"/>
        <v>0.48999999999999899</v>
      </c>
      <c r="AP17" s="1">
        <f t="shared" si="15"/>
        <v>-3.2110091743119185E-2</v>
      </c>
      <c r="AR17">
        <v>15</v>
      </c>
      <c r="AS17">
        <v>15.038</v>
      </c>
      <c r="AT17">
        <v>-6.2439999999999998</v>
      </c>
      <c r="AU17">
        <v>0.219</v>
      </c>
      <c r="AV17">
        <v>19.8</v>
      </c>
      <c r="AW17" s="1">
        <f t="shared" si="16"/>
        <v>-2</v>
      </c>
      <c r="AX17" s="1">
        <f t="shared" si="17"/>
        <v>4</v>
      </c>
      <c r="AY17" s="1">
        <f t="shared" si="18"/>
        <v>-9.1743119266055051E-2</v>
      </c>
      <c r="BA17">
        <v>15</v>
      </c>
      <c r="BB17">
        <v>15.022</v>
      </c>
      <c r="BC17">
        <v>-6.1580000000000004</v>
      </c>
      <c r="BD17">
        <v>0.19900000000000001</v>
      </c>
      <c r="BE17">
        <v>19.899999999999999</v>
      </c>
      <c r="BF17" s="1">
        <f t="shared" si="19"/>
        <v>-1.9000000000000021</v>
      </c>
      <c r="BG17" s="1">
        <f t="shared" si="20"/>
        <v>3.6100000000000083</v>
      </c>
      <c r="BH17" s="1">
        <f t="shared" si="21"/>
        <v>-8.7155963302752437E-2</v>
      </c>
      <c r="BJ17">
        <v>15</v>
      </c>
      <c r="BK17">
        <v>14.941000000000001</v>
      </c>
      <c r="BL17">
        <v>-6.4189999999999996</v>
      </c>
      <c r="BM17">
        <v>0.19400000000000001</v>
      </c>
      <c r="BN17">
        <v>19.399999999999999</v>
      </c>
      <c r="BO17" s="1">
        <f t="shared" si="22"/>
        <v>-2.4000000000000021</v>
      </c>
      <c r="BP17" s="1">
        <f t="shared" si="23"/>
        <v>5.7600000000000104</v>
      </c>
      <c r="BQ17" s="1">
        <f t="shared" si="24"/>
        <v>-0.11009174311926617</v>
      </c>
      <c r="BS17">
        <v>15</v>
      </c>
      <c r="BT17">
        <v>14.948</v>
      </c>
      <c r="BU17">
        <v>-6.4089999999999998</v>
      </c>
      <c r="BV17">
        <v>0.20399999999999999</v>
      </c>
      <c r="BW17">
        <f t="shared" si="0"/>
        <v>20.399999999999999</v>
      </c>
      <c r="BX17" s="1">
        <f t="shared" si="25"/>
        <v>-1.4000000000000021</v>
      </c>
      <c r="BY17" s="1">
        <f t="shared" si="26"/>
        <v>1.960000000000006</v>
      </c>
      <c r="BZ17" s="1">
        <f t="shared" si="27"/>
        <v>-6.4220183486238591E-2</v>
      </c>
      <c r="CB17">
        <v>15</v>
      </c>
      <c r="CC17">
        <v>14.98</v>
      </c>
      <c r="CD17">
        <v>-6.3360000000000003</v>
      </c>
      <c r="CE17">
        <v>0.19400000000000001</v>
      </c>
      <c r="CF17">
        <f t="shared" si="1"/>
        <v>19.400000000000002</v>
      </c>
      <c r="CG17" s="1">
        <f t="shared" si="28"/>
        <v>-2.3999999999999986</v>
      </c>
      <c r="CH17" s="1">
        <f t="shared" si="29"/>
        <v>5.7599999999999936</v>
      </c>
      <c r="CI17" s="1">
        <f t="shared" si="30"/>
        <v>-0.11009174311926595</v>
      </c>
      <c r="CK17">
        <v>15</v>
      </c>
      <c r="CL17">
        <v>0</v>
      </c>
      <c r="CM17">
        <v>0</v>
      </c>
      <c r="CN17">
        <v>0</v>
      </c>
      <c r="CO17">
        <f t="shared" si="2"/>
        <v>0</v>
      </c>
      <c r="CP17" s="1">
        <f t="shared" si="31"/>
        <v>-21.8</v>
      </c>
      <c r="CQ17" s="1">
        <f t="shared" si="32"/>
        <v>475.24</v>
      </c>
      <c r="CR17" s="1">
        <f t="shared" si="33"/>
        <v>-1</v>
      </c>
    </row>
    <row r="18" spans="1:96" x14ac:dyDescent="0.3">
      <c r="A18">
        <v>16.93</v>
      </c>
      <c r="B18">
        <v>9.0009999999999994</v>
      </c>
      <c r="C18">
        <v>16</v>
      </c>
      <c r="D18">
        <v>0.41899999999999998</v>
      </c>
      <c r="E18">
        <f t="shared" si="3"/>
        <v>41.9</v>
      </c>
      <c r="G18">
        <v>16</v>
      </c>
      <c r="H18">
        <v>16.855820000000001</v>
      </c>
      <c r="I18">
        <v>8.9802700000000009</v>
      </c>
      <c r="J18">
        <v>0.39800000000000002</v>
      </c>
      <c r="K18">
        <v>40.4</v>
      </c>
      <c r="L18" s="1">
        <f t="shared" si="4"/>
        <v>-1.5</v>
      </c>
      <c r="M18" s="1">
        <f t="shared" si="5"/>
        <v>2.25</v>
      </c>
      <c r="N18" s="1">
        <f t="shared" si="6"/>
        <v>-3.5799522673030992E-2</v>
      </c>
      <c r="Q18">
        <v>16</v>
      </c>
      <c r="R18">
        <v>16.812999999999999</v>
      </c>
      <c r="S18">
        <v>9.1270000000000007</v>
      </c>
      <c r="T18">
        <v>0.40699999999999997</v>
      </c>
      <c r="U18">
        <v>38</v>
      </c>
      <c r="V18" s="1">
        <f t="shared" si="7"/>
        <v>-3.8999999999999986</v>
      </c>
      <c r="W18" s="1">
        <f t="shared" si="8"/>
        <v>15.209999999999988</v>
      </c>
      <c r="X18" s="1">
        <f t="shared" si="9"/>
        <v>-9.3078758949880602E-2</v>
      </c>
      <c r="Z18">
        <v>16</v>
      </c>
      <c r="AA18">
        <v>16.843</v>
      </c>
      <c r="AB18">
        <v>9.0709999999999997</v>
      </c>
      <c r="AC18">
        <v>0.38</v>
      </c>
      <c r="AD18">
        <v>40.700000000000003</v>
      </c>
      <c r="AE18" s="1">
        <f t="shared" si="10"/>
        <v>-1.1999999999999957</v>
      </c>
      <c r="AF18" s="1">
        <f t="shared" si="11"/>
        <v>1.4399999999999897</v>
      </c>
      <c r="AG18" s="1">
        <f t="shared" si="12"/>
        <v>-2.8639618138424749E-2</v>
      </c>
      <c r="AI18">
        <v>16</v>
      </c>
      <c r="AJ18">
        <v>16.940999999999999</v>
      </c>
      <c r="AK18">
        <v>8.9060000000000006</v>
      </c>
      <c r="AL18">
        <v>0.38800000000000001</v>
      </c>
      <c r="AM18">
        <v>38.799999999999997</v>
      </c>
      <c r="AN18" s="1">
        <f t="shared" si="13"/>
        <v>-3.1000000000000014</v>
      </c>
      <c r="AO18" s="1">
        <f t="shared" si="14"/>
        <v>9.6100000000000083</v>
      </c>
      <c r="AP18" s="1">
        <f t="shared" si="15"/>
        <v>-7.3985680190930769E-2</v>
      </c>
      <c r="AR18">
        <v>16</v>
      </c>
      <c r="AS18">
        <v>16.823</v>
      </c>
      <c r="AT18">
        <v>9.1289999999999996</v>
      </c>
      <c r="AU18">
        <v>0.40400000000000003</v>
      </c>
      <c r="AV18">
        <v>39.799999999999997</v>
      </c>
      <c r="AW18" s="1">
        <f t="shared" si="16"/>
        <v>-2.1000000000000014</v>
      </c>
      <c r="AX18" s="1">
        <f t="shared" si="17"/>
        <v>4.4100000000000064</v>
      </c>
      <c r="AY18" s="1">
        <f t="shared" si="18"/>
        <v>-5.0119331742243478E-2</v>
      </c>
      <c r="BA18">
        <v>16</v>
      </c>
      <c r="BB18">
        <v>16.827999999999999</v>
      </c>
      <c r="BC18">
        <v>9.1389999999999993</v>
      </c>
      <c r="BD18">
        <v>0.40899999999999997</v>
      </c>
      <c r="BE18">
        <v>40.9</v>
      </c>
      <c r="BF18" s="1">
        <f t="shared" si="19"/>
        <v>-1</v>
      </c>
      <c r="BG18" s="1">
        <f t="shared" si="20"/>
        <v>1</v>
      </c>
      <c r="BH18" s="1">
        <f t="shared" si="21"/>
        <v>-2.3866348448687402E-2</v>
      </c>
      <c r="BJ18">
        <v>16</v>
      </c>
      <c r="BK18">
        <v>16.902000000000001</v>
      </c>
      <c r="BL18">
        <v>8.9250000000000007</v>
      </c>
      <c r="BM18">
        <v>0.379</v>
      </c>
      <c r="BN18">
        <v>37.9</v>
      </c>
      <c r="BO18" s="1">
        <f t="shared" si="22"/>
        <v>-4</v>
      </c>
      <c r="BP18" s="1">
        <f t="shared" si="23"/>
        <v>16</v>
      </c>
      <c r="BQ18" s="1">
        <f t="shared" si="24"/>
        <v>-9.5465393794749387E-2</v>
      </c>
      <c r="BS18">
        <v>16</v>
      </c>
      <c r="BT18">
        <v>16.939</v>
      </c>
      <c r="BU18">
        <v>8.9060000000000006</v>
      </c>
      <c r="BV18">
        <v>0.439</v>
      </c>
      <c r="BW18">
        <f t="shared" si="0"/>
        <v>43.9</v>
      </c>
      <c r="BX18" s="1">
        <f t="shared" si="25"/>
        <v>2</v>
      </c>
      <c r="BY18" s="1">
        <f t="shared" si="26"/>
        <v>4</v>
      </c>
      <c r="BZ18" s="1">
        <f t="shared" si="27"/>
        <v>4.7732696897374804E-2</v>
      </c>
      <c r="CB18">
        <v>16</v>
      </c>
      <c r="CC18">
        <v>16.866</v>
      </c>
      <c r="CD18">
        <v>9.0280000000000005</v>
      </c>
      <c r="CE18">
        <v>0.40300000000000002</v>
      </c>
      <c r="CF18">
        <f t="shared" si="1"/>
        <v>40.300000000000004</v>
      </c>
      <c r="CG18" s="1">
        <f t="shared" si="28"/>
        <v>-1.5999999999999943</v>
      </c>
      <c r="CH18" s="1">
        <f t="shared" si="29"/>
        <v>2.5599999999999818</v>
      </c>
      <c r="CI18" s="1">
        <f t="shared" si="30"/>
        <v>-3.8186157517899666E-2</v>
      </c>
      <c r="CK18">
        <v>16</v>
      </c>
      <c r="CL18">
        <v>16.771999999999998</v>
      </c>
      <c r="CM18">
        <v>9.1820000000000004</v>
      </c>
      <c r="CN18">
        <v>0.36299999999999999</v>
      </c>
      <c r="CO18">
        <f t="shared" si="2"/>
        <v>36.299999999999997</v>
      </c>
      <c r="CP18" s="1">
        <f t="shared" si="31"/>
        <v>-5.6000000000000014</v>
      </c>
      <c r="CQ18" s="1">
        <f t="shared" si="32"/>
        <v>31.360000000000017</v>
      </c>
      <c r="CR18" s="1">
        <f t="shared" si="33"/>
        <v>-0.13365155131264916</v>
      </c>
    </row>
    <row r="19" spans="1:96" x14ac:dyDescent="0.3">
      <c r="A19">
        <v>17.97</v>
      </c>
      <c r="B19">
        <v>-14.858000000000001</v>
      </c>
      <c r="C19">
        <v>17</v>
      </c>
      <c r="D19">
        <v>0.29199999999999998</v>
      </c>
      <c r="E19">
        <f t="shared" si="3"/>
        <v>29.2</v>
      </c>
      <c r="G19">
        <v>17</v>
      </c>
      <c r="H19">
        <v>17.935400000000001</v>
      </c>
      <c r="I19">
        <v>-14.914199999999999</v>
      </c>
      <c r="J19">
        <v>0.253</v>
      </c>
      <c r="K19">
        <v>28.7</v>
      </c>
      <c r="L19" s="1">
        <f t="shared" si="4"/>
        <v>-0.5</v>
      </c>
      <c r="M19" s="1">
        <f t="shared" si="5"/>
        <v>0.25</v>
      </c>
      <c r="N19" s="1">
        <f t="shared" si="6"/>
        <v>-1.7123287671232834E-2</v>
      </c>
      <c r="Q19">
        <v>17</v>
      </c>
      <c r="R19">
        <v>18.087</v>
      </c>
      <c r="S19">
        <v>-14.756</v>
      </c>
      <c r="T19">
        <v>0.27600000000000002</v>
      </c>
      <c r="U19">
        <v>27.2</v>
      </c>
      <c r="V19" s="1">
        <f t="shared" si="7"/>
        <v>-2</v>
      </c>
      <c r="W19" s="1">
        <f t="shared" si="8"/>
        <v>4</v>
      </c>
      <c r="X19" s="1">
        <f t="shared" si="9"/>
        <v>-6.8493150684931559E-2</v>
      </c>
      <c r="Z19">
        <v>17</v>
      </c>
      <c r="AA19">
        <v>18.055</v>
      </c>
      <c r="AB19">
        <v>-14.82</v>
      </c>
      <c r="AC19">
        <v>0.27200000000000002</v>
      </c>
      <c r="AD19">
        <v>27.6</v>
      </c>
      <c r="AE19" s="1">
        <f t="shared" si="10"/>
        <v>-1.5999999999999979</v>
      </c>
      <c r="AF19" s="1">
        <f t="shared" si="11"/>
        <v>2.5599999999999934</v>
      </c>
      <c r="AG19" s="1">
        <f t="shared" si="12"/>
        <v>-5.4794520547945091E-2</v>
      </c>
      <c r="AI19">
        <v>17</v>
      </c>
      <c r="AJ19">
        <v>17.896000000000001</v>
      </c>
      <c r="AK19">
        <v>-15</v>
      </c>
      <c r="AL19">
        <v>0.26100000000000001</v>
      </c>
      <c r="AM19">
        <v>26.1</v>
      </c>
      <c r="AN19" s="1">
        <f t="shared" si="13"/>
        <v>-3.0999999999999979</v>
      </c>
      <c r="AO19" s="1">
        <f t="shared" si="14"/>
        <v>9.609999999999987</v>
      </c>
      <c r="AP19" s="1">
        <f t="shared" si="15"/>
        <v>-0.10616438356164382</v>
      </c>
      <c r="AR19">
        <v>17</v>
      </c>
      <c r="AS19">
        <v>18.109000000000002</v>
      </c>
      <c r="AT19">
        <v>-14.773999999999999</v>
      </c>
      <c r="AU19">
        <v>0.28699999999999998</v>
      </c>
      <c r="AV19">
        <v>25.3</v>
      </c>
      <c r="AW19" s="1">
        <f t="shared" si="16"/>
        <v>-3.8999999999999986</v>
      </c>
      <c r="AX19" s="1">
        <f t="shared" si="17"/>
        <v>15.209999999999988</v>
      </c>
      <c r="AY19" s="1">
        <f t="shared" si="18"/>
        <v>-0.13356164383561642</v>
      </c>
      <c r="BA19">
        <v>17</v>
      </c>
      <c r="BB19">
        <v>18.077000000000002</v>
      </c>
      <c r="BC19">
        <v>-14.615</v>
      </c>
      <c r="BD19">
        <v>0.26700000000000002</v>
      </c>
      <c r="BE19">
        <v>26.7</v>
      </c>
      <c r="BF19" s="1">
        <f t="shared" si="19"/>
        <v>-2.5</v>
      </c>
      <c r="BG19" s="1">
        <f t="shared" si="20"/>
        <v>6.25</v>
      </c>
      <c r="BH19" s="1">
        <f t="shared" si="21"/>
        <v>-8.5616438356164393E-2</v>
      </c>
      <c r="BJ19">
        <v>17</v>
      </c>
      <c r="BK19">
        <v>17.911000000000001</v>
      </c>
      <c r="BL19">
        <v>-14.928000000000001</v>
      </c>
      <c r="BM19">
        <v>0.22800000000000001</v>
      </c>
      <c r="BN19">
        <v>22.8</v>
      </c>
      <c r="BO19" s="1">
        <f t="shared" si="22"/>
        <v>-6.3999999999999986</v>
      </c>
      <c r="BP19" s="1">
        <f t="shared" si="23"/>
        <v>40.95999999999998</v>
      </c>
      <c r="BQ19" s="1">
        <f t="shared" si="24"/>
        <v>-0.21917808219178081</v>
      </c>
      <c r="BS19">
        <v>17</v>
      </c>
      <c r="BT19">
        <v>17.884</v>
      </c>
      <c r="BU19">
        <v>-14.97</v>
      </c>
      <c r="BV19">
        <v>0.28699999999999998</v>
      </c>
      <c r="BW19">
        <f t="shared" si="0"/>
        <v>28.7</v>
      </c>
      <c r="BX19" s="1">
        <f t="shared" si="25"/>
        <v>-0.5</v>
      </c>
      <c r="BY19" s="1">
        <f t="shared" si="26"/>
        <v>0.25</v>
      </c>
      <c r="BZ19" s="1">
        <f t="shared" si="27"/>
        <v>-1.7123287671232834E-2</v>
      </c>
      <c r="CB19">
        <v>17</v>
      </c>
      <c r="CC19">
        <v>17.989000000000001</v>
      </c>
      <c r="CD19">
        <v>-14.862</v>
      </c>
      <c r="CE19">
        <v>0.27200000000000002</v>
      </c>
      <c r="CF19">
        <f t="shared" si="1"/>
        <v>27.200000000000003</v>
      </c>
      <c r="CG19" s="1">
        <f t="shared" si="28"/>
        <v>-1.9999999999999964</v>
      </c>
      <c r="CH19" s="1">
        <f t="shared" si="29"/>
        <v>3.9999999999999858</v>
      </c>
      <c r="CI19" s="1">
        <f t="shared" si="30"/>
        <v>-6.8493150684931337E-2</v>
      </c>
      <c r="CK19">
        <v>17</v>
      </c>
      <c r="CL19">
        <v>0</v>
      </c>
      <c r="CM19">
        <v>0</v>
      </c>
      <c r="CN19">
        <v>0</v>
      </c>
      <c r="CO19">
        <f t="shared" si="2"/>
        <v>0</v>
      </c>
      <c r="CP19" s="1">
        <f t="shared" si="31"/>
        <v>-29.2</v>
      </c>
      <c r="CQ19" s="1">
        <f t="shared" si="32"/>
        <v>852.64</v>
      </c>
      <c r="CR19" s="1">
        <f t="shared" si="33"/>
        <v>-1</v>
      </c>
    </row>
    <row r="20" spans="1:96" x14ac:dyDescent="0.3">
      <c r="A20">
        <v>18.474</v>
      </c>
      <c r="B20">
        <v>-2.9260000000000002</v>
      </c>
      <c r="C20">
        <v>18</v>
      </c>
      <c r="D20">
        <v>0.28899999999999998</v>
      </c>
      <c r="E20">
        <f t="shared" si="3"/>
        <v>28.9</v>
      </c>
      <c r="G20">
        <v>18</v>
      </c>
      <c r="H20">
        <v>18.40934</v>
      </c>
      <c r="I20">
        <v>-2.95173</v>
      </c>
      <c r="J20">
        <v>0.27700000000000002</v>
      </c>
      <c r="K20">
        <v>28.1</v>
      </c>
      <c r="L20" s="1">
        <f t="shared" si="4"/>
        <v>-0.79999999999999716</v>
      </c>
      <c r="M20" s="1">
        <f t="shared" si="5"/>
        <v>0.63999999999999546</v>
      </c>
      <c r="N20" s="1">
        <f t="shared" si="6"/>
        <v>-2.7681660899653848E-2</v>
      </c>
      <c r="Q20">
        <v>18</v>
      </c>
      <c r="R20">
        <v>18.463999999999999</v>
      </c>
      <c r="S20">
        <v>-2.7919999999999998</v>
      </c>
      <c r="T20">
        <v>0.28399999999999997</v>
      </c>
      <c r="U20">
        <v>28.9</v>
      </c>
      <c r="V20" s="1">
        <f t="shared" si="7"/>
        <v>0</v>
      </c>
      <c r="W20" s="1">
        <f t="shared" si="8"/>
        <v>0</v>
      </c>
      <c r="X20" s="1">
        <f t="shared" si="9"/>
        <v>0</v>
      </c>
      <c r="Z20">
        <v>18</v>
      </c>
      <c r="AA20">
        <v>18.462</v>
      </c>
      <c r="AB20">
        <v>-2.8559999999999999</v>
      </c>
      <c r="AC20">
        <v>0.28899999999999998</v>
      </c>
      <c r="AD20">
        <v>28.4</v>
      </c>
      <c r="AE20" s="1">
        <f t="shared" si="10"/>
        <v>-0.5</v>
      </c>
      <c r="AF20" s="1">
        <f t="shared" si="11"/>
        <v>0.25</v>
      </c>
      <c r="AG20" s="1">
        <f t="shared" si="12"/>
        <v>-1.730103806228378E-2</v>
      </c>
      <c r="AI20">
        <v>18</v>
      </c>
      <c r="AJ20">
        <v>18.434999999999999</v>
      </c>
      <c r="AK20">
        <v>-3.0379999999999998</v>
      </c>
      <c r="AL20">
        <v>0.27300000000000002</v>
      </c>
      <c r="AM20">
        <v>27.3</v>
      </c>
      <c r="AN20" s="1">
        <f t="shared" si="13"/>
        <v>-1.5999999999999979</v>
      </c>
      <c r="AO20" s="1">
        <f t="shared" si="14"/>
        <v>2.5599999999999934</v>
      </c>
      <c r="AP20" s="1">
        <f t="shared" si="15"/>
        <v>-5.5363321799307919E-2</v>
      </c>
      <c r="AR20">
        <v>18</v>
      </c>
      <c r="AS20">
        <v>18.468</v>
      </c>
      <c r="AT20">
        <v>-2.8</v>
      </c>
      <c r="AU20">
        <v>0.28100000000000003</v>
      </c>
      <c r="AV20">
        <v>27.7</v>
      </c>
      <c r="AW20" s="1">
        <f t="shared" si="16"/>
        <v>-1.1999999999999993</v>
      </c>
      <c r="AX20" s="1">
        <f t="shared" si="17"/>
        <v>1.4399999999999984</v>
      </c>
      <c r="AY20" s="1">
        <f t="shared" si="18"/>
        <v>-4.1522491349480939E-2</v>
      </c>
      <c r="BA20">
        <v>18</v>
      </c>
      <c r="BB20">
        <v>18.459</v>
      </c>
      <c r="BC20">
        <v>-2.7189999999999999</v>
      </c>
      <c r="BD20">
        <v>0.28299999999999997</v>
      </c>
      <c r="BE20">
        <v>28.3</v>
      </c>
      <c r="BF20" s="1">
        <f t="shared" si="19"/>
        <v>-0.59999999999999787</v>
      </c>
      <c r="BG20" s="1">
        <f t="shared" si="20"/>
        <v>0.35999999999999743</v>
      </c>
      <c r="BH20" s="1">
        <f t="shared" si="21"/>
        <v>-2.0761245674740358E-2</v>
      </c>
      <c r="BJ20">
        <v>18</v>
      </c>
      <c r="BK20">
        <v>18.414000000000001</v>
      </c>
      <c r="BL20">
        <v>-3.0129999999999999</v>
      </c>
      <c r="BM20">
        <v>0.27100000000000002</v>
      </c>
      <c r="BN20">
        <v>27.1</v>
      </c>
      <c r="BO20" s="1">
        <f t="shared" si="22"/>
        <v>-1.7999999999999972</v>
      </c>
      <c r="BP20" s="1">
        <f t="shared" si="23"/>
        <v>3.2399999999999896</v>
      </c>
      <c r="BQ20" s="1">
        <f t="shared" si="24"/>
        <v>-6.2283737024221408E-2</v>
      </c>
      <c r="BS20">
        <v>18</v>
      </c>
      <c r="BT20">
        <v>0</v>
      </c>
      <c r="BU20">
        <v>0</v>
      </c>
      <c r="BV20">
        <v>0</v>
      </c>
      <c r="BW20">
        <f t="shared" si="0"/>
        <v>0</v>
      </c>
      <c r="BX20" s="1">
        <f t="shared" si="25"/>
        <v>-28.9</v>
      </c>
      <c r="BY20" s="1">
        <f t="shared" si="26"/>
        <v>835.20999999999992</v>
      </c>
      <c r="BZ20" s="1">
        <f t="shared" si="27"/>
        <v>-1</v>
      </c>
      <c r="CB20">
        <v>18</v>
      </c>
      <c r="CC20">
        <v>18.428999999999998</v>
      </c>
      <c r="CD20">
        <v>-2.911</v>
      </c>
      <c r="CE20">
        <v>0.27800000000000002</v>
      </c>
      <c r="CF20">
        <f t="shared" si="1"/>
        <v>27.800000000000004</v>
      </c>
      <c r="CG20" s="1">
        <f t="shared" si="28"/>
        <v>-1.0999999999999943</v>
      </c>
      <c r="CH20" s="1">
        <f t="shared" si="29"/>
        <v>1.2099999999999875</v>
      </c>
      <c r="CI20" s="1">
        <f t="shared" si="30"/>
        <v>-3.8062283737024027E-2</v>
      </c>
      <c r="CK20">
        <v>18</v>
      </c>
      <c r="CL20">
        <v>18.449000000000002</v>
      </c>
      <c r="CM20">
        <v>-2.71</v>
      </c>
      <c r="CN20">
        <v>0.247</v>
      </c>
      <c r="CO20">
        <f t="shared" si="2"/>
        <v>24.7</v>
      </c>
      <c r="CP20" s="1">
        <f t="shared" si="31"/>
        <v>-4.1999999999999993</v>
      </c>
      <c r="CQ20" s="1">
        <f t="shared" si="32"/>
        <v>17.639999999999993</v>
      </c>
      <c r="CR20" s="1">
        <f t="shared" si="33"/>
        <v>-0.1453287197231834</v>
      </c>
    </row>
    <row r="21" spans="1:96" x14ac:dyDescent="0.3">
      <c r="A21">
        <v>18.673999999999999</v>
      </c>
      <c r="B21">
        <v>15.522</v>
      </c>
      <c r="C21">
        <v>19</v>
      </c>
      <c r="D21">
        <v>0.27900000000000003</v>
      </c>
      <c r="E21">
        <f t="shared" si="3"/>
        <v>27.900000000000002</v>
      </c>
      <c r="G21">
        <v>19</v>
      </c>
      <c r="H21">
        <v>18.608229999999999</v>
      </c>
      <c r="I21">
        <v>15.4872</v>
      </c>
      <c r="J21">
        <v>0.26500000000000001</v>
      </c>
      <c r="K21">
        <v>28.9</v>
      </c>
      <c r="L21" s="1">
        <f t="shared" si="4"/>
        <v>0.99999999999999645</v>
      </c>
      <c r="M21" s="1">
        <f t="shared" si="5"/>
        <v>0.99999999999999289</v>
      </c>
      <c r="N21" s="1">
        <f t="shared" si="6"/>
        <v>3.584229390680993E-2</v>
      </c>
      <c r="Q21">
        <v>19</v>
      </c>
      <c r="R21">
        <v>18.523</v>
      </c>
      <c r="S21">
        <v>15.651</v>
      </c>
      <c r="T21">
        <v>0.28399999999999997</v>
      </c>
      <c r="U21">
        <v>26.2</v>
      </c>
      <c r="V21" s="1">
        <f t="shared" si="7"/>
        <v>-1.7000000000000028</v>
      </c>
      <c r="W21" s="1">
        <f t="shared" si="8"/>
        <v>2.8900000000000095</v>
      </c>
      <c r="X21" s="1">
        <f t="shared" si="9"/>
        <v>-6.0931899641577192E-2</v>
      </c>
      <c r="Z21">
        <v>19</v>
      </c>
      <c r="AA21">
        <v>18.565000000000001</v>
      </c>
      <c r="AB21">
        <v>15.587999999999999</v>
      </c>
      <c r="AC21">
        <v>0.26200000000000001</v>
      </c>
      <c r="AD21">
        <v>28.4</v>
      </c>
      <c r="AE21" s="1">
        <f t="shared" si="10"/>
        <v>0.49999999999999645</v>
      </c>
      <c r="AF21" s="1">
        <f t="shared" si="11"/>
        <v>0.24999999999999645</v>
      </c>
      <c r="AG21" s="1">
        <f t="shared" si="12"/>
        <v>1.7921146953404854E-2</v>
      </c>
      <c r="AI21">
        <v>19</v>
      </c>
      <c r="AJ21">
        <v>18.742999999999999</v>
      </c>
      <c r="AK21">
        <v>15.398</v>
      </c>
      <c r="AL21">
        <v>0.27100000000000002</v>
      </c>
      <c r="AM21">
        <v>27.1</v>
      </c>
      <c r="AN21" s="1">
        <f t="shared" si="13"/>
        <v>-0.80000000000000071</v>
      </c>
      <c r="AO21" s="1">
        <f t="shared" si="14"/>
        <v>0.64000000000000112</v>
      </c>
      <c r="AP21" s="1">
        <f t="shared" si="15"/>
        <v>-2.8673835125448077E-2</v>
      </c>
      <c r="AR21">
        <v>19</v>
      </c>
      <c r="AS21">
        <v>18.533000000000001</v>
      </c>
      <c r="AT21">
        <v>15.643000000000001</v>
      </c>
      <c r="AU21">
        <v>0.28899999999999998</v>
      </c>
      <c r="AV21">
        <v>26.5</v>
      </c>
      <c r="AW21" s="1">
        <f t="shared" si="16"/>
        <v>-1.4000000000000021</v>
      </c>
      <c r="AX21" s="1">
        <f t="shared" si="17"/>
        <v>1.960000000000006</v>
      </c>
      <c r="AY21" s="1">
        <f t="shared" si="18"/>
        <v>-5.017921146953408E-2</v>
      </c>
      <c r="BA21">
        <v>19</v>
      </c>
      <c r="BB21">
        <v>18.558</v>
      </c>
      <c r="BC21">
        <v>15.627000000000001</v>
      </c>
      <c r="BD21">
        <v>0.28699999999999998</v>
      </c>
      <c r="BE21">
        <v>28.7</v>
      </c>
      <c r="BF21" s="1">
        <f t="shared" si="19"/>
        <v>0.79999999999999716</v>
      </c>
      <c r="BG21" s="1">
        <f t="shared" si="20"/>
        <v>0.63999999999999546</v>
      </c>
      <c r="BH21" s="1">
        <f t="shared" si="21"/>
        <v>2.8673835125447855E-2</v>
      </c>
      <c r="BJ21">
        <v>19</v>
      </c>
      <c r="BK21">
        <v>18.696000000000002</v>
      </c>
      <c r="BL21">
        <v>15.432</v>
      </c>
      <c r="BM21">
        <v>0.27900000000000003</v>
      </c>
      <c r="BN21">
        <v>27.9</v>
      </c>
      <c r="BO21" s="1">
        <f t="shared" si="22"/>
        <v>0</v>
      </c>
      <c r="BP21" s="1">
        <f t="shared" si="23"/>
        <v>0</v>
      </c>
      <c r="BQ21" s="1">
        <f t="shared" si="24"/>
        <v>0</v>
      </c>
      <c r="BS21">
        <v>19</v>
      </c>
      <c r="BT21">
        <v>18.713000000000001</v>
      </c>
      <c r="BU21">
        <v>15.430999999999999</v>
      </c>
      <c r="BV21">
        <v>0.28999999999999998</v>
      </c>
      <c r="BW21">
        <f t="shared" si="0"/>
        <v>28.999999999999996</v>
      </c>
      <c r="BX21" s="1">
        <f t="shared" si="25"/>
        <v>1.0999999999999943</v>
      </c>
      <c r="BY21" s="1">
        <f t="shared" si="26"/>
        <v>1.2099999999999875</v>
      </c>
      <c r="BZ21" s="1">
        <f t="shared" si="27"/>
        <v>3.9426523297490856E-2</v>
      </c>
      <c r="CB21">
        <v>19</v>
      </c>
      <c r="CC21">
        <v>18.61</v>
      </c>
      <c r="CD21">
        <v>15.516999999999999</v>
      </c>
      <c r="CE21">
        <v>0.27800000000000002</v>
      </c>
      <c r="CF21">
        <f t="shared" si="1"/>
        <v>27.800000000000004</v>
      </c>
      <c r="CG21" s="1">
        <f t="shared" si="28"/>
        <v>-9.9999999999997868E-2</v>
      </c>
      <c r="CH21" s="1">
        <f t="shared" si="29"/>
        <v>9.9999999999995735E-3</v>
      </c>
      <c r="CI21" s="1">
        <f t="shared" si="30"/>
        <v>-3.5842293906809264E-3</v>
      </c>
      <c r="CK21">
        <v>19</v>
      </c>
      <c r="CL21">
        <v>18.445</v>
      </c>
      <c r="CM21">
        <v>15.736000000000001</v>
      </c>
      <c r="CN21">
        <v>0.25600000000000001</v>
      </c>
      <c r="CO21">
        <f t="shared" si="2"/>
        <v>25.6</v>
      </c>
      <c r="CP21" s="1">
        <f t="shared" si="31"/>
        <v>-2.3000000000000007</v>
      </c>
      <c r="CQ21" s="1">
        <f t="shared" si="32"/>
        <v>5.2900000000000036</v>
      </c>
      <c r="CR21" s="1">
        <f t="shared" si="33"/>
        <v>-8.2437275985663083E-2</v>
      </c>
    </row>
    <row r="22" spans="1:96" x14ac:dyDescent="0.3">
      <c r="A22">
        <v>19.652000000000001</v>
      </c>
      <c r="B22">
        <v>-9.7330000000000005</v>
      </c>
      <c r="C22">
        <v>20</v>
      </c>
      <c r="D22">
        <v>0.251</v>
      </c>
      <c r="E22">
        <f t="shared" si="3"/>
        <v>25.1</v>
      </c>
      <c r="G22">
        <v>20</v>
      </c>
      <c r="H22">
        <v>19.616820000000001</v>
      </c>
      <c r="I22">
        <v>-9.7555599999999991</v>
      </c>
      <c r="J22">
        <v>0.218</v>
      </c>
      <c r="K22">
        <v>23.7</v>
      </c>
      <c r="L22" s="1">
        <f t="shared" si="4"/>
        <v>-1.4000000000000021</v>
      </c>
      <c r="M22" s="1">
        <f t="shared" si="5"/>
        <v>1.960000000000006</v>
      </c>
      <c r="N22" s="1">
        <f t="shared" si="6"/>
        <v>-5.5776892430278946E-2</v>
      </c>
      <c r="Q22">
        <v>20</v>
      </c>
      <c r="R22">
        <v>19.722999999999999</v>
      </c>
      <c r="S22">
        <v>-9.5950000000000006</v>
      </c>
      <c r="T22">
        <v>0.23300000000000001</v>
      </c>
      <c r="U22">
        <v>22.8</v>
      </c>
      <c r="V22" s="1">
        <f t="shared" si="7"/>
        <v>-2.3000000000000007</v>
      </c>
      <c r="W22" s="1">
        <f t="shared" si="8"/>
        <v>5.2900000000000036</v>
      </c>
      <c r="X22" s="1">
        <f t="shared" si="9"/>
        <v>-9.1633466135458197E-2</v>
      </c>
      <c r="Z22">
        <v>20</v>
      </c>
      <c r="AA22">
        <v>19.696000000000002</v>
      </c>
      <c r="AB22">
        <v>-9.6620000000000008</v>
      </c>
      <c r="AC22">
        <v>0.22800000000000001</v>
      </c>
      <c r="AD22">
        <v>23.3</v>
      </c>
      <c r="AE22" s="1">
        <f t="shared" si="10"/>
        <v>-1.8000000000000007</v>
      </c>
      <c r="AF22" s="1">
        <f t="shared" si="11"/>
        <v>3.2400000000000024</v>
      </c>
      <c r="AG22" s="1">
        <f t="shared" si="12"/>
        <v>-7.1713147410358613E-2</v>
      </c>
      <c r="AI22">
        <v>20</v>
      </c>
      <c r="AJ22">
        <v>19.603999999999999</v>
      </c>
      <c r="AK22">
        <v>-9.8610000000000007</v>
      </c>
      <c r="AL22">
        <v>0.23499999999999999</v>
      </c>
      <c r="AM22">
        <v>23.5</v>
      </c>
      <c r="AN22" s="1">
        <f t="shared" si="13"/>
        <v>-1.6000000000000014</v>
      </c>
      <c r="AO22" s="1">
        <f t="shared" si="14"/>
        <v>2.5600000000000045</v>
      </c>
      <c r="AP22" s="1">
        <f t="shared" si="15"/>
        <v>-6.374501992031878E-2</v>
      </c>
      <c r="AR22">
        <v>20</v>
      </c>
      <c r="AS22">
        <v>19.728999999999999</v>
      </c>
      <c r="AT22">
        <v>-9.6</v>
      </c>
      <c r="AU22">
        <v>0.23699999999999999</v>
      </c>
      <c r="AV22">
        <v>21.8</v>
      </c>
      <c r="AW22" s="1">
        <f t="shared" si="16"/>
        <v>-3.3000000000000007</v>
      </c>
      <c r="AX22" s="1">
        <f t="shared" si="17"/>
        <v>10.890000000000004</v>
      </c>
      <c r="AY22" s="1">
        <f t="shared" si="18"/>
        <v>-0.13147410358565736</v>
      </c>
      <c r="BA22">
        <v>20</v>
      </c>
      <c r="BB22">
        <v>19.704000000000001</v>
      </c>
      <c r="BC22">
        <v>-9.48</v>
      </c>
      <c r="BD22">
        <v>0.23</v>
      </c>
      <c r="BE22">
        <v>23</v>
      </c>
      <c r="BF22" s="1">
        <f t="shared" si="19"/>
        <v>-2.1000000000000014</v>
      </c>
      <c r="BG22" s="1">
        <f t="shared" si="20"/>
        <v>4.4100000000000064</v>
      </c>
      <c r="BH22" s="1">
        <f t="shared" si="21"/>
        <v>-8.3665338645418363E-2</v>
      </c>
      <c r="BJ22">
        <v>20</v>
      </c>
      <c r="BK22">
        <v>19.591999999999999</v>
      </c>
      <c r="BL22">
        <v>-9.8070000000000004</v>
      </c>
      <c r="BM22">
        <v>0.20200000000000001</v>
      </c>
      <c r="BN22">
        <v>20.2</v>
      </c>
      <c r="BO22" s="1">
        <f t="shared" si="22"/>
        <v>-4.9000000000000021</v>
      </c>
      <c r="BP22" s="1">
        <f t="shared" si="23"/>
        <v>24.010000000000019</v>
      </c>
      <c r="BQ22" s="1">
        <f t="shared" si="24"/>
        <v>-0.19521912350597614</v>
      </c>
      <c r="BS22">
        <v>20</v>
      </c>
      <c r="BT22">
        <v>19.591000000000001</v>
      </c>
      <c r="BU22">
        <v>-9.83</v>
      </c>
      <c r="BV22">
        <v>0.23100000000000001</v>
      </c>
      <c r="BW22">
        <f t="shared" si="0"/>
        <v>23.1</v>
      </c>
      <c r="BX22" s="1">
        <f t="shared" si="25"/>
        <v>-2</v>
      </c>
      <c r="BY22" s="1">
        <f t="shared" si="26"/>
        <v>4</v>
      </c>
      <c r="BZ22" s="1">
        <f t="shared" si="27"/>
        <v>-7.9681274900398447E-2</v>
      </c>
      <c r="CB22">
        <v>20</v>
      </c>
      <c r="CC22">
        <v>19.649999999999999</v>
      </c>
      <c r="CD22">
        <v>-9.7260000000000009</v>
      </c>
      <c r="CE22">
        <v>0.221</v>
      </c>
      <c r="CF22">
        <f t="shared" si="1"/>
        <v>22.1</v>
      </c>
      <c r="CG22" s="1">
        <f t="shared" si="28"/>
        <v>-3</v>
      </c>
      <c r="CH22" s="1">
        <f t="shared" si="29"/>
        <v>9</v>
      </c>
      <c r="CI22" s="1">
        <f t="shared" si="30"/>
        <v>-0.11952191235059761</v>
      </c>
      <c r="CK22">
        <v>20</v>
      </c>
      <c r="CL22">
        <v>19.748000000000001</v>
      </c>
      <c r="CM22">
        <v>-9.4979999999999993</v>
      </c>
      <c r="CN22">
        <v>0.19700000000000001</v>
      </c>
      <c r="CO22">
        <f t="shared" si="2"/>
        <v>19.7</v>
      </c>
      <c r="CP22" s="1">
        <f t="shared" si="31"/>
        <v>-5.4000000000000021</v>
      </c>
      <c r="CQ22" s="1">
        <f t="shared" si="32"/>
        <v>29.160000000000021</v>
      </c>
      <c r="CR22" s="1">
        <f t="shared" si="33"/>
        <v>-0.21513944223107573</v>
      </c>
    </row>
    <row r="23" spans="1:96" x14ac:dyDescent="0.3">
      <c r="A23">
        <v>20.581</v>
      </c>
      <c r="B23">
        <v>3.2370000000000001</v>
      </c>
      <c r="C23">
        <v>21</v>
      </c>
      <c r="D23">
        <v>0.23300000000000001</v>
      </c>
      <c r="E23">
        <f t="shared" si="3"/>
        <v>23.3</v>
      </c>
      <c r="G23">
        <v>21</v>
      </c>
      <c r="H23">
        <v>20.71332</v>
      </c>
      <c r="I23">
        <v>3.1217700000000002</v>
      </c>
      <c r="J23">
        <v>0.23502999999999999</v>
      </c>
      <c r="K23">
        <v>21.782</v>
      </c>
      <c r="L23" s="1">
        <f t="shared" si="4"/>
        <v>-1.5180000000000007</v>
      </c>
      <c r="M23" s="1">
        <f t="shared" si="5"/>
        <v>2.304324000000002</v>
      </c>
      <c r="N23" s="1">
        <f t="shared" si="6"/>
        <v>-6.5150214592274658E-2</v>
      </c>
      <c r="Q23">
        <v>21</v>
      </c>
      <c r="R23">
        <v>20.561</v>
      </c>
      <c r="S23">
        <v>3.18</v>
      </c>
      <c r="T23">
        <v>0.15622</v>
      </c>
      <c r="U23">
        <v>24.181000000000001</v>
      </c>
      <c r="V23" s="1">
        <f t="shared" si="7"/>
        <v>0.88100000000000023</v>
      </c>
      <c r="W23" s="1">
        <f t="shared" si="8"/>
        <v>0.77616100000000043</v>
      </c>
      <c r="X23" s="1">
        <f t="shared" si="9"/>
        <v>3.7811158798283229E-2</v>
      </c>
      <c r="Z23">
        <v>21</v>
      </c>
      <c r="AA23">
        <v>20.431999999999999</v>
      </c>
      <c r="AB23">
        <v>3.1309999999999998</v>
      </c>
      <c r="AC23">
        <v>0.24181</v>
      </c>
      <c r="AD23">
        <v>15.622</v>
      </c>
      <c r="AE23" s="1">
        <f t="shared" si="10"/>
        <v>-7.6780000000000008</v>
      </c>
      <c r="AF23" s="1">
        <f t="shared" si="11"/>
        <v>58.951684000000014</v>
      </c>
      <c r="AG23" s="1">
        <f t="shared" si="12"/>
        <v>-0.32952789699570817</v>
      </c>
      <c r="AI23">
        <v>21</v>
      </c>
      <c r="AJ23">
        <v>20.594000000000001</v>
      </c>
      <c r="AK23">
        <v>3.2570000000000001</v>
      </c>
      <c r="AL23">
        <v>0.33771000000000001</v>
      </c>
      <c r="AM23">
        <v>33.771000000000001</v>
      </c>
      <c r="AN23" s="1">
        <f t="shared" si="13"/>
        <v>10.471</v>
      </c>
      <c r="AO23" s="1">
        <f t="shared" si="14"/>
        <v>109.641841</v>
      </c>
      <c r="AP23" s="1">
        <f t="shared" si="15"/>
        <v>0.44939914163090133</v>
      </c>
      <c r="AR23">
        <v>21</v>
      </c>
      <c r="AS23">
        <v>20.515999999999998</v>
      </c>
      <c r="AT23">
        <v>3.1669999999999998</v>
      </c>
      <c r="AU23">
        <v>0.16782</v>
      </c>
      <c r="AV23">
        <v>23.503</v>
      </c>
      <c r="AW23" s="1">
        <f t="shared" si="16"/>
        <v>0.2029999999999994</v>
      </c>
      <c r="AX23" s="1">
        <f t="shared" si="17"/>
        <v>4.120899999999976E-2</v>
      </c>
      <c r="AY23" s="1">
        <f t="shared" si="18"/>
        <v>8.7124463519312467E-3</v>
      </c>
      <c r="BA23">
        <v>21</v>
      </c>
      <c r="BB23">
        <v>20.440000000000001</v>
      </c>
      <c r="BC23">
        <v>3.2109999999999999</v>
      </c>
      <c r="BD23">
        <v>0.16406000000000001</v>
      </c>
      <c r="BE23">
        <v>16.405999999999999</v>
      </c>
      <c r="BF23" s="1">
        <f t="shared" si="19"/>
        <v>-6.8940000000000019</v>
      </c>
      <c r="BG23" s="1">
        <f t="shared" si="20"/>
        <v>47.527236000000023</v>
      </c>
      <c r="BH23" s="1">
        <f t="shared" si="21"/>
        <v>-0.29587982832618032</v>
      </c>
      <c r="BJ23">
        <v>21</v>
      </c>
      <c r="BK23">
        <v>20.623000000000001</v>
      </c>
      <c r="BL23">
        <v>3.1469999999999998</v>
      </c>
      <c r="BM23">
        <v>0.21265999999999999</v>
      </c>
      <c r="BN23">
        <v>21.265999999999998</v>
      </c>
      <c r="BO23" s="1">
        <f t="shared" si="22"/>
        <v>-2.0340000000000025</v>
      </c>
      <c r="BP23" s="1">
        <f t="shared" si="23"/>
        <v>4.1371560000000098</v>
      </c>
      <c r="BQ23" s="1">
        <f t="shared" si="24"/>
        <v>-8.7296137339055946E-2</v>
      </c>
      <c r="BS23">
        <v>21</v>
      </c>
      <c r="BT23">
        <v>20.623000000000001</v>
      </c>
      <c r="BU23">
        <v>3.1469999999999998</v>
      </c>
      <c r="BV23">
        <v>0.21265999999999999</v>
      </c>
      <c r="BW23">
        <f t="shared" si="0"/>
        <v>21.265999999999998</v>
      </c>
      <c r="BX23" s="1">
        <f t="shared" si="25"/>
        <v>-2.0340000000000025</v>
      </c>
      <c r="BY23" s="1">
        <f t="shared" si="26"/>
        <v>4.1371560000000098</v>
      </c>
      <c r="BZ23" s="1">
        <f t="shared" si="27"/>
        <v>-8.7296137339055946E-2</v>
      </c>
      <c r="CB23">
        <v>21</v>
      </c>
      <c r="CC23">
        <v>20.527069999999998</v>
      </c>
      <c r="CD23">
        <v>3.25848</v>
      </c>
      <c r="CE23">
        <v>0.19256999999999999</v>
      </c>
      <c r="CF23">
        <f t="shared" si="1"/>
        <v>19.256999999999998</v>
      </c>
      <c r="CG23" s="1">
        <f t="shared" si="28"/>
        <v>-4.0430000000000028</v>
      </c>
      <c r="CH23" s="1">
        <f t="shared" si="29"/>
        <v>16.345849000000022</v>
      </c>
      <c r="CI23" s="1">
        <f t="shared" si="30"/>
        <v>-0.17351931330472115</v>
      </c>
      <c r="CK23">
        <v>21</v>
      </c>
      <c r="CL23">
        <v>20.712489999999999</v>
      </c>
      <c r="CM23">
        <v>3.21326</v>
      </c>
      <c r="CN23">
        <v>0.25135000000000002</v>
      </c>
      <c r="CO23">
        <f t="shared" si="2"/>
        <v>25.135000000000002</v>
      </c>
      <c r="CP23" s="1">
        <f t="shared" si="31"/>
        <v>1.8350000000000009</v>
      </c>
      <c r="CQ23" s="1">
        <f t="shared" si="32"/>
        <v>3.367225000000003</v>
      </c>
      <c r="CR23" s="1">
        <f t="shared" si="33"/>
        <v>7.8755364806867068E-2</v>
      </c>
    </row>
    <row r="24" spans="1:96" x14ac:dyDescent="0.3">
      <c r="A24">
        <v>21.460999999999999</v>
      </c>
      <c r="B24">
        <v>-18.253</v>
      </c>
      <c r="C24">
        <v>22</v>
      </c>
      <c r="D24">
        <v>0.23699999999999999</v>
      </c>
      <c r="E24">
        <f t="shared" si="3"/>
        <v>23.7</v>
      </c>
      <c r="G24">
        <v>22</v>
      </c>
      <c r="H24">
        <v>21.221620000000001</v>
      </c>
      <c r="I24">
        <v>-18.564779999999999</v>
      </c>
      <c r="J24">
        <v>0.16569999999999999</v>
      </c>
      <c r="K24">
        <v>15.702</v>
      </c>
      <c r="L24" s="1">
        <f t="shared" si="4"/>
        <v>-7.9979999999999993</v>
      </c>
      <c r="M24" s="1">
        <f t="shared" si="5"/>
        <v>63.968003999999986</v>
      </c>
      <c r="N24" s="1">
        <f t="shared" si="6"/>
        <v>-0.3374683544303797</v>
      </c>
      <c r="Q24">
        <v>22</v>
      </c>
      <c r="R24">
        <v>21.507000000000001</v>
      </c>
      <c r="S24">
        <v>-18.154</v>
      </c>
      <c r="T24">
        <v>0.13976</v>
      </c>
      <c r="U24">
        <v>20.56</v>
      </c>
      <c r="V24" s="1">
        <f t="shared" si="7"/>
        <v>-3.1400000000000006</v>
      </c>
      <c r="W24" s="1">
        <f t="shared" si="8"/>
        <v>9.8596000000000039</v>
      </c>
      <c r="X24" s="1">
        <f t="shared" si="9"/>
        <v>-0.13248945147679325</v>
      </c>
      <c r="Z24">
        <v>22</v>
      </c>
      <c r="AA24">
        <v>21.353000000000002</v>
      </c>
      <c r="AB24">
        <v>-18.347999999999999</v>
      </c>
      <c r="AC24">
        <v>0.2056</v>
      </c>
      <c r="AD24">
        <v>13.976000000000001</v>
      </c>
      <c r="AE24" s="1">
        <f t="shared" si="10"/>
        <v>-9.7239999999999984</v>
      </c>
      <c r="AF24" s="1">
        <f t="shared" si="11"/>
        <v>94.556175999999965</v>
      </c>
      <c r="AG24" s="1">
        <f t="shared" si="12"/>
        <v>-0.41029535864978894</v>
      </c>
      <c r="AI24">
        <v>22</v>
      </c>
      <c r="AJ24">
        <v>21.460999999999999</v>
      </c>
      <c r="AK24">
        <v>-18.291</v>
      </c>
      <c r="AL24">
        <v>0.14978</v>
      </c>
      <c r="AM24">
        <v>14.978</v>
      </c>
      <c r="AN24" s="1">
        <f t="shared" si="13"/>
        <v>-8.7219999999999995</v>
      </c>
      <c r="AO24" s="1">
        <f t="shared" si="14"/>
        <v>76.073283999999987</v>
      </c>
      <c r="AP24" s="1">
        <f t="shared" si="15"/>
        <v>-0.36801687763713076</v>
      </c>
      <c r="AR24">
        <v>22</v>
      </c>
      <c r="AS24">
        <v>21.347999999999999</v>
      </c>
      <c r="AT24">
        <v>-18.288</v>
      </c>
      <c r="AU24">
        <v>0.10702</v>
      </c>
      <c r="AV24">
        <v>16.57</v>
      </c>
      <c r="AW24" s="1">
        <f t="shared" si="16"/>
        <v>-7.129999999999999</v>
      </c>
      <c r="AX24" s="1">
        <f t="shared" si="17"/>
        <v>50.836899999999986</v>
      </c>
      <c r="AY24" s="1">
        <f t="shared" si="18"/>
        <v>-0.3008438818565401</v>
      </c>
      <c r="BA24">
        <v>22</v>
      </c>
      <c r="BB24">
        <v>21.481999999999999</v>
      </c>
      <c r="BC24">
        <v>-18.149999999999999</v>
      </c>
      <c r="BD24">
        <v>0.38597999999999999</v>
      </c>
      <c r="BE24">
        <v>38.597999999999999</v>
      </c>
      <c r="BF24" s="1">
        <f t="shared" si="19"/>
        <v>14.898</v>
      </c>
      <c r="BG24" s="1">
        <f t="shared" si="20"/>
        <v>221.95040399999999</v>
      </c>
      <c r="BH24" s="1">
        <f t="shared" si="21"/>
        <v>0.62860759493670892</v>
      </c>
      <c r="BJ24">
        <v>22</v>
      </c>
      <c r="BK24">
        <v>21.451000000000001</v>
      </c>
      <c r="BL24">
        <v>-18.22</v>
      </c>
      <c r="BM24">
        <v>0.23391999999999999</v>
      </c>
      <c r="BN24">
        <v>23.391999999999999</v>
      </c>
      <c r="BO24" s="1">
        <f t="shared" si="22"/>
        <v>-0.30799999999999983</v>
      </c>
      <c r="BP24" s="1">
        <f t="shared" si="23"/>
        <v>9.4863999999999893E-2</v>
      </c>
      <c r="BQ24" s="1">
        <f t="shared" si="24"/>
        <v>-1.2995780590717265E-2</v>
      </c>
      <c r="BS24">
        <v>22</v>
      </c>
      <c r="BT24">
        <v>21.353000000000002</v>
      </c>
      <c r="BU24">
        <v>-18.347999999999999</v>
      </c>
      <c r="BV24">
        <v>0.2056</v>
      </c>
      <c r="BW24">
        <f t="shared" si="0"/>
        <v>20.560000000000002</v>
      </c>
      <c r="BX24" s="1">
        <f t="shared" si="25"/>
        <v>-3.139999999999997</v>
      </c>
      <c r="BY24" s="1">
        <f t="shared" si="26"/>
        <v>9.8595999999999808</v>
      </c>
      <c r="BZ24" s="1">
        <f t="shared" si="27"/>
        <v>-0.13248945147679314</v>
      </c>
      <c r="CB24">
        <v>22</v>
      </c>
      <c r="CC24">
        <v>0</v>
      </c>
      <c r="CD24">
        <v>0</v>
      </c>
      <c r="CE24">
        <v>0</v>
      </c>
      <c r="CF24">
        <f t="shared" si="1"/>
        <v>0</v>
      </c>
      <c r="CG24" s="1">
        <f t="shared" si="28"/>
        <v>-23.7</v>
      </c>
      <c r="CH24" s="1">
        <f t="shared" si="29"/>
        <v>561.68999999999994</v>
      </c>
      <c r="CI24" s="1">
        <f t="shared" si="30"/>
        <v>-1</v>
      </c>
      <c r="CK24">
        <v>22</v>
      </c>
      <c r="CL24">
        <v>21.45074</v>
      </c>
      <c r="CM24">
        <v>-18.219909999999999</v>
      </c>
      <c r="CN24">
        <v>0.23391999999999999</v>
      </c>
      <c r="CO24">
        <f t="shared" si="2"/>
        <v>23.391999999999999</v>
      </c>
      <c r="CP24" s="1">
        <f t="shared" si="31"/>
        <v>-0.30799999999999983</v>
      </c>
      <c r="CQ24" s="1">
        <f t="shared" si="32"/>
        <v>9.4863999999999893E-2</v>
      </c>
      <c r="CR24" s="1">
        <f t="shared" si="33"/>
        <v>-1.2995780590717265E-2</v>
      </c>
    </row>
    <row r="25" spans="1:96" x14ac:dyDescent="0.3">
      <c r="A25">
        <v>21.969000000000001</v>
      </c>
      <c r="B25">
        <v>-4.8609999999999998</v>
      </c>
      <c r="C25">
        <v>23</v>
      </c>
      <c r="D25">
        <v>0.24099999999999999</v>
      </c>
      <c r="E25">
        <f t="shared" si="3"/>
        <v>24.099999999999998</v>
      </c>
      <c r="G25">
        <v>23</v>
      </c>
      <c r="H25">
        <v>21.923100000000002</v>
      </c>
      <c r="I25">
        <v>-4.8828899999999997</v>
      </c>
      <c r="J25">
        <v>0.23699999999999999</v>
      </c>
      <c r="K25">
        <v>24</v>
      </c>
      <c r="L25" s="1">
        <f t="shared" si="4"/>
        <v>-9.9999999999997868E-2</v>
      </c>
      <c r="M25" s="1">
        <f t="shared" si="5"/>
        <v>9.9999999999995735E-3</v>
      </c>
      <c r="N25" s="1">
        <f t="shared" si="6"/>
        <v>-4.1493775933608701E-3</v>
      </c>
      <c r="Q25">
        <v>23</v>
      </c>
      <c r="R25">
        <v>21.992999999999999</v>
      </c>
      <c r="S25">
        <v>-4.6980000000000004</v>
      </c>
      <c r="T25">
        <v>0.24399999999999999</v>
      </c>
      <c r="U25">
        <v>22.8</v>
      </c>
      <c r="V25" s="1">
        <f t="shared" si="7"/>
        <v>-1.2999999999999972</v>
      </c>
      <c r="W25" s="1">
        <f t="shared" si="8"/>
        <v>1.6899999999999926</v>
      </c>
      <c r="X25" s="1">
        <f t="shared" si="9"/>
        <v>-5.3941908713692865E-2</v>
      </c>
      <c r="Z25">
        <v>23</v>
      </c>
      <c r="AA25">
        <v>21.97</v>
      </c>
      <c r="AB25">
        <v>-4.7640000000000002</v>
      </c>
      <c r="AC25">
        <v>0.22800000000000001</v>
      </c>
      <c r="AD25">
        <v>24.4</v>
      </c>
      <c r="AE25" s="1">
        <f t="shared" si="10"/>
        <v>0.30000000000000071</v>
      </c>
      <c r="AF25" s="1">
        <f t="shared" si="11"/>
        <v>9.0000000000000427E-2</v>
      </c>
      <c r="AG25" s="1">
        <f t="shared" si="12"/>
        <v>1.2448132780082943E-2</v>
      </c>
      <c r="AI25">
        <v>23</v>
      </c>
      <c r="AJ25">
        <v>21.936</v>
      </c>
      <c r="AK25">
        <v>-4.9859999999999998</v>
      </c>
      <c r="AL25">
        <v>0.224</v>
      </c>
      <c r="AM25">
        <v>22.4</v>
      </c>
      <c r="AN25" s="1">
        <f t="shared" si="13"/>
        <v>-1.6999999999999993</v>
      </c>
      <c r="AO25" s="1">
        <f t="shared" si="14"/>
        <v>2.8899999999999975</v>
      </c>
      <c r="AP25" s="1">
        <f t="shared" si="15"/>
        <v>-7.0539419087136901E-2</v>
      </c>
      <c r="AR25">
        <v>23</v>
      </c>
      <c r="AS25">
        <v>22.012</v>
      </c>
      <c r="AT25">
        <v>-4.6989999999999998</v>
      </c>
      <c r="AU25">
        <v>0.24</v>
      </c>
      <c r="AV25">
        <v>23.7</v>
      </c>
      <c r="AW25" s="1">
        <f t="shared" si="16"/>
        <v>-0.39999999999999858</v>
      </c>
      <c r="AX25" s="1">
        <f t="shared" si="17"/>
        <v>0.15999999999999887</v>
      </c>
      <c r="AY25" s="1">
        <f t="shared" si="18"/>
        <v>-1.6597510373443924E-2</v>
      </c>
      <c r="BA25">
        <v>23</v>
      </c>
      <c r="BB25">
        <v>21.99</v>
      </c>
      <c r="BC25">
        <v>-4.6020000000000003</v>
      </c>
      <c r="BD25">
        <v>0.22900000000000001</v>
      </c>
      <c r="BE25">
        <v>22.9</v>
      </c>
      <c r="BF25" s="1">
        <f t="shared" si="19"/>
        <v>-1.1999999999999993</v>
      </c>
      <c r="BG25" s="1">
        <f t="shared" si="20"/>
        <v>1.4399999999999984</v>
      </c>
      <c r="BH25" s="1">
        <f t="shared" si="21"/>
        <v>-4.9792531120331884E-2</v>
      </c>
      <c r="BJ25">
        <v>23</v>
      </c>
      <c r="BK25">
        <v>21.931999999999999</v>
      </c>
      <c r="BL25">
        <v>-4.952</v>
      </c>
      <c r="BM25">
        <v>0.21</v>
      </c>
      <c r="BN25">
        <v>21</v>
      </c>
      <c r="BO25" s="1">
        <f t="shared" si="22"/>
        <v>-3.0999999999999979</v>
      </c>
      <c r="BP25" s="1">
        <f t="shared" si="23"/>
        <v>9.609999999999987</v>
      </c>
      <c r="BQ25" s="1">
        <f t="shared" si="24"/>
        <v>-0.12863070539419075</v>
      </c>
      <c r="BS25">
        <v>23</v>
      </c>
      <c r="BT25">
        <v>0</v>
      </c>
      <c r="BU25">
        <v>0</v>
      </c>
      <c r="BV25">
        <v>0</v>
      </c>
      <c r="BW25">
        <f t="shared" si="0"/>
        <v>0</v>
      </c>
      <c r="BX25" s="1">
        <f t="shared" si="25"/>
        <v>-24.099999999999998</v>
      </c>
      <c r="BY25" s="1">
        <f t="shared" si="26"/>
        <v>580.80999999999995</v>
      </c>
      <c r="BZ25" s="1">
        <f t="shared" si="27"/>
        <v>-1</v>
      </c>
      <c r="CB25">
        <v>23</v>
      </c>
      <c r="CC25">
        <v>21.946999999999999</v>
      </c>
      <c r="CD25">
        <v>-4.8380000000000001</v>
      </c>
      <c r="CE25">
        <v>0.23899999999999999</v>
      </c>
      <c r="CF25">
        <f t="shared" si="1"/>
        <v>23.9</v>
      </c>
      <c r="CG25" s="1">
        <f t="shared" si="28"/>
        <v>-0.19999999999999929</v>
      </c>
      <c r="CH25" s="1">
        <f t="shared" si="29"/>
        <v>3.9999999999999716E-2</v>
      </c>
      <c r="CI25" s="1">
        <f t="shared" si="30"/>
        <v>-8.2987551867219622E-3</v>
      </c>
      <c r="CK25">
        <v>23</v>
      </c>
      <c r="CL25">
        <v>21.984999999999999</v>
      </c>
      <c r="CM25">
        <v>-4.5919999999999996</v>
      </c>
      <c r="CN25">
        <v>0.20799999999999999</v>
      </c>
      <c r="CO25">
        <f t="shared" si="2"/>
        <v>20.8</v>
      </c>
      <c r="CP25" s="1">
        <f t="shared" si="31"/>
        <v>-3.2999999999999972</v>
      </c>
      <c r="CQ25" s="1">
        <f t="shared" si="32"/>
        <v>10.889999999999981</v>
      </c>
      <c r="CR25" s="1">
        <f t="shared" si="33"/>
        <v>-0.13692946058091271</v>
      </c>
    </row>
    <row r="26" spans="1:96" x14ac:dyDescent="0.3">
      <c r="A26">
        <v>25.263000000000002</v>
      </c>
      <c r="B26">
        <v>-15.746</v>
      </c>
      <c r="C26">
        <v>24</v>
      </c>
      <c r="D26">
        <v>0.23400000000000001</v>
      </c>
      <c r="E26">
        <f t="shared" si="3"/>
        <v>23.400000000000002</v>
      </c>
      <c r="G26">
        <v>24</v>
      </c>
      <c r="H26">
        <v>25.24173</v>
      </c>
      <c r="I26">
        <v>-15.73443</v>
      </c>
      <c r="J26">
        <v>0.18099999999999999</v>
      </c>
      <c r="K26">
        <v>20</v>
      </c>
      <c r="L26" s="1">
        <f t="shared" si="4"/>
        <v>-3.4000000000000021</v>
      </c>
      <c r="M26" s="1">
        <f t="shared" si="5"/>
        <v>11.560000000000015</v>
      </c>
      <c r="N26" s="1">
        <f t="shared" si="6"/>
        <v>-0.14529914529914534</v>
      </c>
      <c r="Q26">
        <v>24</v>
      </c>
      <c r="R26">
        <v>25.404</v>
      </c>
      <c r="S26">
        <v>-15.526</v>
      </c>
      <c r="T26">
        <v>0.19700000000000001</v>
      </c>
      <c r="U26">
        <v>21.4</v>
      </c>
      <c r="V26" s="1">
        <f t="shared" si="7"/>
        <v>-2.0000000000000036</v>
      </c>
      <c r="W26" s="1">
        <f t="shared" si="8"/>
        <v>4.0000000000000142</v>
      </c>
      <c r="X26" s="1">
        <f t="shared" si="9"/>
        <v>-8.5470085470085611E-2</v>
      </c>
      <c r="Z26">
        <v>24</v>
      </c>
      <c r="AA26">
        <v>25.361000000000001</v>
      </c>
      <c r="AB26">
        <v>-15.624000000000001</v>
      </c>
      <c r="AC26">
        <v>0.214</v>
      </c>
      <c r="AD26">
        <v>19.7</v>
      </c>
      <c r="AE26" s="1">
        <f t="shared" si="10"/>
        <v>-3.7000000000000028</v>
      </c>
      <c r="AF26" s="1">
        <f t="shared" si="11"/>
        <v>13.690000000000021</v>
      </c>
      <c r="AG26" s="1">
        <f t="shared" si="12"/>
        <v>-0.15811965811965822</v>
      </c>
      <c r="AI26">
        <v>24</v>
      </c>
      <c r="AJ26">
        <v>25.215</v>
      </c>
      <c r="AK26">
        <v>-15.877000000000001</v>
      </c>
      <c r="AL26">
        <v>0.19</v>
      </c>
      <c r="AM26">
        <v>19</v>
      </c>
      <c r="AN26" s="1">
        <f t="shared" si="13"/>
        <v>-4.4000000000000021</v>
      </c>
      <c r="AO26" s="1">
        <f t="shared" si="14"/>
        <v>19.360000000000017</v>
      </c>
      <c r="AP26" s="1">
        <f t="shared" si="15"/>
        <v>-0.18803418803418814</v>
      </c>
      <c r="AR26">
        <v>24</v>
      </c>
      <c r="AS26">
        <v>25.42</v>
      </c>
      <c r="AT26">
        <v>-15.541</v>
      </c>
      <c r="AU26">
        <v>0.2</v>
      </c>
      <c r="AV26">
        <v>18.100000000000001</v>
      </c>
      <c r="AW26" s="1">
        <f t="shared" si="16"/>
        <v>-5.3000000000000007</v>
      </c>
      <c r="AX26" s="1">
        <f t="shared" si="17"/>
        <v>28.090000000000007</v>
      </c>
      <c r="AY26" s="1">
        <f t="shared" si="18"/>
        <v>-0.22649572649572647</v>
      </c>
      <c r="BA26">
        <v>24</v>
      </c>
      <c r="BB26">
        <v>25.379000000000001</v>
      </c>
      <c r="BC26">
        <v>-15.372999999999999</v>
      </c>
      <c r="BD26">
        <v>0.19900000000000001</v>
      </c>
      <c r="BE26">
        <v>19.899999999999999</v>
      </c>
      <c r="BF26" s="1">
        <f t="shared" si="19"/>
        <v>-3.5000000000000036</v>
      </c>
      <c r="BG26" s="1">
        <f t="shared" si="20"/>
        <v>12.250000000000025</v>
      </c>
      <c r="BH26" s="1">
        <f t="shared" si="21"/>
        <v>-0.14957264957264971</v>
      </c>
      <c r="BJ26">
        <v>24</v>
      </c>
      <c r="BK26">
        <v>25.216000000000001</v>
      </c>
      <c r="BL26">
        <v>-15.817</v>
      </c>
      <c r="BM26">
        <v>0.16200000000000001</v>
      </c>
      <c r="BN26">
        <v>16.2</v>
      </c>
      <c r="BO26" s="1">
        <f t="shared" si="22"/>
        <v>-7.2000000000000028</v>
      </c>
      <c r="BP26" s="1">
        <f t="shared" si="23"/>
        <v>51.840000000000039</v>
      </c>
      <c r="BQ26" s="1">
        <f t="shared" si="24"/>
        <v>-0.30769230769230782</v>
      </c>
      <c r="BS26">
        <v>24</v>
      </c>
      <c r="BT26">
        <v>25.196000000000002</v>
      </c>
      <c r="BU26">
        <v>-15.84</v>
      </c>
      <c r="BV26">
        <v>0.21299999999999999</v>
      </c>
      <c r="BW26">
        <f t="shared" si="0"/>
        <v>21.3</v>
      </c>
      <c r="BX26" s="1">
        <f t="shared" si="25"/>
        <v>-2.1000000000000014</v>
      </c>
      <c r="BY26" s="1">
        <f t="shared" si="26"/>
        <v>4.4100000000000064</v>
      </c>
      <c r="BZ26" s="1">
        <f t="shared" si="27"/>
        <v>-8.9743589743589758E-2</v>
      </c>
      <c r="CB26">
        <v>24</v>
      </c>
      <c r="CC26">
        <v>25.305</v>
      </c>
      <c r="CD26">
        <v>-15.701000000000001</v>
      </c>
      <c r="CE26">
        <v>0.19900000000000001</v>
      </c>
      <c r="CF26">
        <f t="shared" si="1"/>
        <v>19.900000000000002</v>
      </c>
      <c r="CG26" s="1">
        <f t="shared" si="28"/>
        <v>-3.5</v>
      </c>
      <c r="CH26" s="1">
        <f t="shared" si="29"/>
        <v>12.25</v>
      </c>
      <c r="CI26" s="1">
        <f t="shared" si="30"/>
        <v>-0.1495726495726496</v>
      </c>
      <c r="CK26">
        <v>24</v>
      </c>
      <c r="CL26">
        <v>25.439</v>
      </c>
      <c r="CM26">
        <v>-15.444000000000001</v>
      </c>
      <c r="CN26">
        <v>0.18</v>
      </c>
      <c r="CO26">
        <f t="shared" si="2"/>
        <v>18</v>
      </c>
      <c r="CP26" s="1">
        <f t="shared" si="31"/>
        <v>-5.4000000000000021</v>
      </c>
      <c r="CQ26" s="1">
        <f t="shared" si="32"/>
        <v>29.160000000000021</v>
      </c>
      <c r="CR26" s="1">
        <f t="shared" si="33"/>
        <v>-0.23076923076923084</v>
      </c>
    </row>
    <row r="27" spans="1:96" x14ac:dyDescent="0.3">
      <c r="A27">
        <v>25.327000000000002</v>
      </c>
      <c r="B27">
        <v>-10.468999999999999</v>
      </c>
      <c r="C27">
        <v>25</v>
      </c>
      <c r="D27">
        <v>0.29399999999999998</v>
      </c>
      <c r="E27">
        <f t="shared" si="3"/>
        <v>29.4</v>
      </c>
      <c r="G27">
        <v>25</v>
      </c>
      <c r="H27">
        <v>25.285229999999999</v>
      </c>
      <c r="I27">
        <v>-10.46959</v>
      </c>
      <c r="J27">
        <v>0.27500000000000002</v>
      </c>
      <c r="K27">
        <v>28.1</v>
      </c>
      <c r="L27" s="1">
        <f t="shared" si="4"/>
        <v>-1.2999999999999972</v>
      </c>
      <c r="M27" s="1">
        <f t="shared" si="5"/>
        <v>1.6899999999999926</v>
      </c>
      <c r="N27" s="1">
        <f t="shared" si="6"/>
        <v>-4.421768707482987E-2</v>
      </c>
      <c r="Q27">
        <v>25</v>
      </c>
      <c r="R27">
        <v>25.398</v>
      </c>
      <c r="S27">
        <v>-10.25</v>
      </c>
      <c r="T27">
        <v>0.27300000000000002</v>
      </c>
      <c r="U27">
        <v>24.3</v>
      </c>
      <c r="V27" s="1">
        <f t="shared" si="7"/>
        <v>-5.0999999999999979</v>
      </c>
      <c r="W27" s="1">
        <f t="shared" si="8"/>
        <v>26.009999999999977</v>
      </c>
      <c r="X27" s="1">
        <f t="shared" si="9"/>
        <v>-0.17346938775510201</v>
      </c>
      <c r="Z27">
        <v>25</v>
      </c>
      <c r="AA27">
        <v>25.356000000000002</v>
      </c>
      <c r="AB27">
        <v>-10.327999999999999</v>
      </c>
      <c r="AC27">
        <v>0.24299999999999999</v>
      </c>
      <c r="AD27">
        <v>27.3</v>
      </c>
      <c r="AE27" s="1">
        <f t="shared" si="10"/>
        <v>-2.0999999999999979</v>
      </c>
      <c r="AF27" s="1">
        <f t="shared" si="11"/>
        <v>4.4099999999999913</v>
      </c>
      <c r="AG27" s="1">
        <f t="shared" si="12"/>
        <v>-7.1428571428571397E-2</v>
      </c>
      <c r="AI27">
        <v>25</v>
      </c>
      <c r="AJ27">
        <v>25.271999999999998</v>
      </c>
      <c r="AK27">
        <v>-10.598000000000001</v>
      </c>
      <c r="AL27">
        <v>0.27600000000000002</v>
      </c>
      <c r="AM27">
        <v>27.6</v>
      </c>
      <c r="AN27" s="1">
        <f t="shared" si="13"/>
        <v>-1.7999999999999972</v>
      </c>
      <c r="AO27" s="1">
        <f t="shared" si="14"/>
        <v>3.2399999999999896</v>
      </c>
      <c r="AP27" s="1">
        <f t="shared" si="15"/>
        <v>-6.1224489795918324E-2</v>
      </c>
      <c r="AR27">
        <v>25</v>
      </c>
      <c r="AS27">
        <v>25.408999999999999</v>
      </c>
      <c r="AT27">
        <v>-10.266999999999999</v>
      </c>
      <c r="AU27">
        <v>0.28100000000000003</v>
      </c>
      <c r="AV27">
        <v>27.5</v>
      </c>
      <c r="AW27" s="1">
        <f t="shared" si="16"/>
        <v>-1.8999999999999986</v>
      </c>
      <c r="AX27" s="1">
        <f t="shared" si="17"/>
        <v>3.6099999999999945</v>
      </c>
      <c r="AY27" s="1">
        <f t="shared" si="18"/>
        <v>-6.4625850340136015E-2</v>
      </c>
      <c r="BA27">
        <v>25</v>
      </c>
      <c r="BB27">
        <v>25.376000000000001</v>
      </c>
      <c r="BC27">
        <v>-10.122</v>
      </c>
      <c r="BD27">
        <v>0.27800000000000002</v>
      </c>
      <c r="BE27">
        <v>27.8</v>
      </c>
      <c r="BF27" s="1">
        <f t="shared" si="19"/>
        <v>-1.5999999999999979</v>
      </c>
      <c r="BG27" s="1">
        <f t="shared" si="20"/>
        <v>2.5599999999999934</v>
      </c>
      <c r="BH27" s="1">
        <f t="shared" si="21"/>
        <v>-5.4421768707482943E-2</v>
      </c>
      <c r="BJ27">
        <v>25</v>
      </c>
      <c r="BK27">
        <v>25.277999999999999</v>
      </c>
      <c r="BL27">
        <v>-10.555999999999999</v>
      </c>
      <c r="BM27">
        <v>0.26400000000000001</v>
      </c>
      <c r="BN27">
        <v>26.4</v>
      </c>
      <c r="BO27" s="1">
        <f t="shared" si="22"/>
        <v>-3</v>
      </c>
      <c r="BP27" s="1">
        <f t="shared" si="23"/>
        <v>9</v>
      </c>
      <c r="BQ27" s="1">
        <f t="shared" si="24"/>
        <v>-0.10204081632653061</v>
      </c>
      <c r="BS27">
        <v>25</v>
      </c>
      <c r="BT27">
        <v>25.257999999999999</v>
      </c>
      <c r="BU27">
        <v>-10.564</v>
      </c>
      <c r="BV27">
        <v>0.28899999999999998</v>
      </c>
      <c r="BW27">
        <f t="shared" si="0"/>
        <v>28.9</v>
      </c>
      <c r="BX27" s="1">
        <f t="shared" si="25"/>
        <v>-0.5</v>
      </c>
      <c r="BY27" s="1">
        <f t="shared" si="26"/>
        <v>0.25</v>
      </c>
      <c r="BZ27" s="1">
        <f t="shared" si="27"/>
        <v>-1.7006802721088454E-2</v>
      </c>
      <c r="CB27">
        <v>25</v>
      </c>
      <c r="CC27">
        <v>25.324000000000002</v>
      </c>
      <c r="CD27">
        <v>-10.430999999999999</v>
      </c>
      <c r="CE27">
        <v>0.27400000000000002</v>
      </c>
      <c r="CF27">
        <f t="shared" si="1"/>
        <v>27.400000000000002</v>
      </c>
      <c r="CG27" s="1">
        <f t="shared" si="28"/>
        <v>-1.9999999999999964</v>
      </c>
      <c r="CH27" s="1">
        <f t="shared" si="29"/>
        <v>3.9999999999999858</v>
      </c>
      <c r="CI27" s="1">
        <f t="shared" si="30"/>
        <v>-6.8027210884353595E-2</v>
      </c>
      <c r="CK27">
        <v>25</v>
      </c>
      <c r="CL27">
        <v>25.446000000000002</v>
      </c>
      <c r="CM27">
        <v>-10.164</v>
      </c>
      <c r="CN27">
        <v>0.29099999999999998</v>
      </c>
      <c r="CO27">
        <f t="shared" si="2"/>
        <v>29.099999999999998</v>
      </c>
      <c r="CP27" s="1">
        <f t="shared" si="31"/>
        <v>-0.30000000000000071</v>
      </c>
      <c r="CQ27" s="1">
        <f t="shared" si="32"/>
        <v>9.0000000000000427E-2</v>
      </c>
      <c r="CR27" s="1">
        <f t="shared" si="33"/>
        <v>-1.0204081632653073E-2</v>
      </c>
    </row>
    <row r="28" spans="1:96" x14ac:dyDescent="0.3">
      <c r="A28">
        <v>24.184000000000001</v>
      </c>
      <c r="B28">
        <v>-2.9390000000000001</v>
      </c>
      <c r="C28">
        <v>26</v>
      </c>
      <c r="D28">
        <v>0.193</v>
      </c>
      <c r="E28">
        <f t="shared" si="3"/>
        <v>19.3</v>
      </c>
      <c r="G28">
        <v>26</v>
      </c>
      <c r="H28">
        <v>24.064260000000001</v>
      </c>
      <c r="I28">
        <v>-3.3465099999999999</v>
      </c>
      <c r="J28">
        <v>0.29171999999999998</v>
      </c>
      <c r="K28">
        <v>15.454000000000001</v>
      </c>
      <c r="L28" s="1">
        <f t="shared" si="4"/>
        <v>-3.8460000000000001</v>
      </c>
      <c r="M28" s="1">
        <f t="shared" si="5"/>
        <v>14.791716000000001</v>
      </c>
      <c r="N28" s="1">
        <f t="shared" si="6"/>
        <v>-0.19927461139896374</v>
      </c>
      <c r="Q28">
        <v>26</v>
      </c>
      <c r="R28">
        <v>24.1</v>
      </c>
      <c r="S28">
        <v>-3.0790000000000002</v>
      </c>
      <c r="T28">
        <v>0.30171999999999999</v>
      </c>
      <c r="U28">
        <v>17.146999999999998</v>
      </c>
      <c r="V28" s="1">
        <f t="shared" si="7"/>
        <v>-2.1530000000000022</v>
      </c>
      <c r="W28" s="1">
        <f t="shared" si="8"/>
        <v>4.6354090000000099</v>
      </c>
      <c r="X28" s="1">
        <f t="shared" si="9"/>
        <v>-0.11155440414507778</v>
      </c>
      <c r="Z28">
        <v>26</v>
      </c>
      <c r="AA28">
        <v>24.228000000000002</v>
      </c>
      <c r="AB28">
        <v>-2.9089999999999998</v>
      </c>
      <c r="AC28">
        <v>7.1470000000000006E-2</v>
      </c>
      <c r="AD28">
        <v>30.172000000000001</v>
      </c>
      <c r="AE28" s="1">
        <f>AD28-E28</f>
        <v>10.872</v>
      </c>
      <c r="AF28" s="1">
        <f>AE28*AE28</f>
        <v>118.200384</v>
      </c>
      <c r="AG28" s="1">
        <f t="shared" si="12"/>
        <v>0.5633160621761657</v>
      </c>
      <c r="AI28">
        <v>26</v>
      </c>
      <c r="AJ28">
        <v>24.257999999999999</v>
      </c>
      <c r="AK28">
        <v>-2.8290000000000002</v>
      </c>
      <c r="AL28">
        <v>0.32745000000000002</v>
      </c>
      <c r="AM28">
        <v>32.744999999999997</v>
      </c>
      <c r="AN28" s="1">
        <f t="shared" si="13"/>
        <v>13.444999999999997</v>
      </c>
      <c r="AO28" s="1">
        <f t="shared" si="14"/>
        <v>180.76802499999991</v>
      </c>
      <c r="AP28" s="1">
        <f t="shared" si="15"/>
        <v>0.69663212435233146</v>
      </c>
      <c r="AR28">
        <v>26</v>
      </c>
      <c r="AS28">
        <v>24.158999999999999</v>
      </c>
      <c r="AT28">
        <v>-2.9020000000000001</v>
      </c>
      <c r="AU28">
        <v>5.4539999999999998E-2</v>
      </c>
      <c r="AV28">
        <v>29.172000000000001</v>
      </c>
      <c r="AW28" s="1">
        <f t="shared" si="16"/>
        <v>9.8719999999999999</v>
      </c>
      <c r="AX28" s="1">
        <f t="shared" si="17"/>
        <v>97.456384</v>
      </c>
      <c r="AY28" s="1">
        <f t="shared" si="18"/>
        <v>0.51150259067357506</v>
      </c>
      <c r="BA28">
        <v>26</v>
      </c>
      <c r="BB28">
        <v>24.321000000000002</v>
      </c>
      <c r="BC28">
        <v>-2.9540000000000002</v>
      </c>
      <c r="BD28">
        <v>0.26436999999999999</v>
      </c>
      <c r="BE28">
        <v>26.437000000000001</v>
      </c>
      <c r="BF28" s="1">
        <f t="shared" si="19"/>
        <v>7.1370000000000005</v>
      </c>
      <c r="BG28" s="1">
        <f t="shared" si="20"/>
        <v>50.936769000000005</v>
      </c>
      <c r="BH28" s="1">
        <f t="shared" si="21"/>
        <v>0.3697927461139896</v>
      </c>
      <c r="BJ28">
        <v>26</v>
      </c>
      <c r="BK28">
        <v>24.318999999999999</v>
      </c>
      <c r="BL28">
        <v>-2.9780000000000002</v>
      </c>
      <c r="BM28">
        <v>0.29885</v>
      </c>
      <c r="BN28">
        <v>29.885000000000002</v>
      </c>
      <c r="BO28" s="1">
        <f t="shared" si="22"/>
        <v>10.585000000000001</v>
      </c>
      <c r="BP28" s="1">
        <f t="shared" si="23"/>
        <v>112.04222500000002</v>
      </c>
      <c r="BQ28" s="1">
        <f t="shared" si="24"/>
        <v>0.54844559585492236</v>
      </c>
      <c r="BS28">
        <v>26</v>
      </c>
      <c r="BT28">
        <v>24.222999999999999</v>
      </c>
      <c r="BU28">
        <v>-3.0640000000000001</v>
      </c>
      <c r="BV28">
        <v>0.13753000000000001</v>
      </c>
      <c r="BW28">
        <f t="shared" si="0"/>
        <v>13.753000000000002</v>
      </c>
      <c r="BX28" s="1">
        <f t="shared" si="25"/>
        <v>-5.5469999999999988</v>
      </c>
      <c r="BY28" s="1">
        <f t="shared" si="26"/>
        <v>30.769208999999986</v>
      </c>
      <c r="BZ28" s="1">
        <f t="shared" si="27"/>
        <v>-0.28740932642487038</v>
      </c>
      <c r="CB28">
        <v>26</v>
      </c>
      <c r="CC28">
        <v>24.247440000000001</v>
      </c>
      <c r="CD28">
        <v>-2.8374100000000002</v>
      </c>
      <c r="CE28">
        <v>0.23566999999999999</v>
      </c>
      <c r="CF28">
        <f t="shared" si="1"/>
        <v>23.567</v>
      </c>
      <c r="CG28" s="1">
        <f t="shared" si="28"/>
        <v>4.2669999999999995</v>
      </c>
      <c r="CH28" s="1">
        <f t="shared" si="29"/>
        <v>18.207288999999996</v>
      </c>
      <c r="CI28" s="1">
        <f t="shared" si="30"/>
        <v>0.22108808290155446</v>
      </c>
      <c r="CK28">
        <v>26</v>
      </c>
      <c r="CL28">
        <v>24.150300000000001</v>
      </c>
      <c r="CM28">
        <v>-2.8003</v>
      </c>
      <c r="CN28">
        <v>0.22162000000000001</v>
      </c>
      <c r="CO28">
        <f t="shared" si="2"/>
        <v>22.162000000000003</v>
      </c>
      <c r="CP28" s="1">
        <f t="shared" si="31"/>
        <v>2.8620000000000019</v>
      </c>
      <c r="CQ28" s="1">
        <f t="shared" si="32"/>
        <v>8.1910440000000104</v>
      </c>
      <c r="CR28" s="1">
        <f t="shared" si="33"/>
        <v>0.14829015544041457</v>
      </c>
    </row>
    <row r="29" spans="1:96" x14ac:dyDescent="0.3">
      <c r="A29">
        <v>26.329000000000001</v>
      </c>
      <c r="B29">
        <v>-20.016999999999999</v>
      </c>
      <c r="C29">
        <v>27</v>
      </c>
      <c r="D29">
        <v>0.29699999999999999</v>
      </c>
      <c r="E29">
        <f t="shared" si="3"/>
        <v>29.7</v>
      </c>
      <c r="G29">
        <v>27</v>
      </c>
      <c r="H29">
        <v>25.959420000000001</v>
      </c>
      <c r="I29">
        <v>-20.234860000000001</v>
      </c>
      <c r="J29">
        <v>0.23080999999999999</v>
      </c>
      <c r="K29">
        <v>25.2</v>
      </c>
      <c r="L29" s="1">
        <f t="shared" si="4"/>
        <v>-4.5</v>
      </c>
      <c r="M29" s="1">
        <f t="shared" si="5"/>
        <v>20.25</v>
      </c>
      <c r="N29" s="1">
        <f t="shared" si="6"/>
        <v>-0.15151515151515149</v>
      </c>
      <c r="Q29">
        <v>27</v>
      </c>
      <c r="R29">
        <v>26.183</v>
      </c>
      <c r="S29">
        <v>-19.945</v>
      </c>
      <c r="T29">
        <v>0.23080999999999999</v>
      </c>
      <c r="U29">
        <v>22.1</v>
      </c>
      <c r="V29" s="1">
        <f t="shared" si="7"/>
        <v>-7.5999999999999979</v>
      </c>
      <c r="W29" s="1">
        <f t="shared" si="8"/>
        <v>57.75999999999997</v>
      </c>
      <c r="X29" s="1">
        <f t="shared" si="9"/>
        <v>-0.25589225589225584</v>
      </c>
      <c r="Z29">
        <v>27</v>
      </c>
      <c r="AA29">
        <v>26.457999999999998</v>
      </c>
      <c r="AB29">
        <v>-19.853000000000002</v>
      </c>
      <c r="AC29">
        <v>0.221</v>
      </c>
      <c r="AD29">
        <v>23.081</v>
      </c>
      <c r="AE29" s="1">
        <f t="shared" si="10"/>
        <v>-6.6189999999999998</v>
      </c>
      <c r="AF29" s="1">
        <f t="shared" si="11"/>
        <v>43.811160999999998</v>
      </c>
      <c r="AG29" s="1">
        <f t="shared" si="12"/>
        <v>-0.22286195286195287</v>
      </c>
      <c r="AI29">
        <v>27</v>
      </c>
      <c r="AJ29">
        <v>26.262</v>
      </c>
      <c r="AK29">
        <v>-20.123000000000001</v>
      </c>
      <c r="AL29">
        <v>0.21099999999999999</v>
      </c>
      <c r="AM29">
        <v>21.1</v>
      </c>
      <c r="AN29" s="1">
        <f t="shared" si="13"/>
        <v>-8.5999999999999979</v>
      </c>
      <c r="AO29" s="1">
        <f t="shared" si="14"/>
        <v>73.959999999999965</v>
      </c>
      <c r="AP29" s="1">
        <f t="shared" si="15"/>
        <v>-0.28956228956228947</v>
      </c>
      <c r="AR29">
        <v>27</v>
      </c>
      <c r="AS29">
        <v>26.541</v>
      </c>
      <c r="AT29">
        <v>-19.794</v>
      </c>
      <c r="AU29">
        <v>0.252</v>
      </c>
      <c r="AV29">
        <v>23.081</v>
      </c>
      <c r="AW29" s="1">
        <f t="shared" si="16"/>
        <v>-6.6189999999999998</v>
      </c>
      <c r="AX29" s="1">
        <f t="shared" si="17"/>
        <v>43.811160999999998</v>
      </c>
      <c r="AY29" s="1">
        <f t="shared" si="18"/>
        <v>-0.22286195286195287</v>
      </c>
      <c r="BA29">
        <v>27</v>
      </c>
      <c r="BB29">
        <v>26.483000000000001</v>
      </c>
      <c r="BC29">
        <v>-19.553999999999998</v>
      </c>
      <c r="BD29">
        <v>0.187</v>
      </c>
      <c r="BE29">
        <v>18.7</v>
      </c>
      <c r="BF29" s="1">
        <f t="shared" si="19"/>
        <v>-11</v>
      </c>
      <c r="BG29" s="1">
        <f t="shared" si="20"/>
        <v>121</v>
      </c>
      <c r="BH29" s="1">
        <f t="shared" si="21"/>
        <v>-0.37037037037037035</v>
      </c>
      <c r="BJ29">
        <v>27</v>
      </c>
      <c r="BK29">
        <v>26.248000000000001</v>
      </c>
      <c r="BL29">
        <v>-20.05</v>
      </c>
      <c r="BM29">
        <v>0.17199999999999999</v>
      </c>
      <c r="BN29">
        <v>17.2</v>
      </c>
      <c r="BO29" s="1">
        <f t="shared" si="22"/>
        <v>-12.5</v>
      </c>
      <c r="BP29" s="1">
        <f t="shared" si="23"/>
        <v>156.25</v>
      </c>
      <c r="BQ29" s="1">
        <f t="shared" si="24"/>
        <v>-0.42087542087542085</v>
      </c>
      <c r="BS29">
        <v>27</v>
      </c>
      <c r="BT29">
        <v>26.28</v>
      </c>
      <c r="BU29">
        <v>-20.059999999999999</v>
      </c>
      <c r="BV29">
        <v>0.193</v>
      </c>
      <c r="BW29">
        <f t="shared" si="0"/>
        <v>19.3</v>
      </c>
      <c r="BX29" s="1">
        <f t="shared" si="25"/>
        <v>-10.399999999999999</v>
      </c>
      <c r="BY29" s="1">
        <f t="shared" si="26"/>
        <v>108.15999999999997</v>
      </c>
      <c r="BZ29" s="1">
        <f t="shared" si="27"/>
        <v>-0.35016835016835013</v>
      </c>
      <c r="CB29">
        <v>27</v>
      </c>
      <c r="CC29">
        <v>26.376000000000001</v>
      </c>
      <c r="CD29">
        <v>-19.933</v>
      </c>
      <c r="CE29">
        <v>0.222</v>
      </c>
      <c r="CF29">
        <f t="shared" si="1"/>
        <v>22.2</v>
      </c>
      <c r="CG29" s="1">
        <f t="shared" si="28"/>
        <v>-7.5</v>
      </c>
      <c r="CH29" s="1">
        <f t="shared" si="29"/>
        <v>56.25</v>
      </c>
      <c r="CI29" s="1">
        <f t="shared" si="30"/>
        <v>-0.25252525252525249</v>
      </c>
      <c r="CK29">
        <v>27</v>
      </c>
      <c r="CL29">
        <v>26.574000000000002</v>
      </c>
      <c r="CM29">
        <v>-19.645</v>
      </c>
      <c r="CN29">
        <v>0.17799999999999999</v>
      </c>
      <c r="CO29">
        <f t="shared" si="2"/>
        <v>17.8</v>
      </c>
      <c r="CP29" s="1">
        <f t="shared" si="31"/>
        <v>-11.899999999999999</v>
      </c>
      <c r="CQ29" s="1">
        <f t="shared" si="32"/>
        <v>141.60999999999996</v>
      </c>
      <c r="CR29" s="1">
        <f t="shared" si="33"/>
        <v>-0.40067340067340063</v>
      </c>
    </row>
    <row r="30" spans="1:96" x14ac:dyDescent="0.3">
      <c r="A30">
        <v>26.864000000000001</v>
      </c>
      <c r="B30">
        <v>12.532</v>
      </c>
      <c r="C30">
        <v>28</v>
      </c>
      <c r="D30">
        <v>0.251</v>
      </c>
      <c r="E30">
        <f t="shared" si="3"/>
        <v>25.1</v>
      </c>
      <c r="G30">
        <v>28</v>
      </c>
      <c r="H30">
        <v>27.10145</v>
      </c>
      <c r="I30">
        <v>12.35769</v>
      </c>
      <c r="J30">
        <v>0.33718999999999999</v>
      </c>
      <c r="K30">
        <v>24.108000000000001</v>
      </c>
      <c r="L30" s="1">
        <f t="shared" si="4"/>
        <v>-0.99200000000000088</v>
      </c>
      <c r="M30" s="1">
        <f t="shared" si="5"/>
        <v>0.98406400000000172</v>
      </c>
      <c r="N30" s="1">
        <f t="shared" si="6"/>
        <v>-3.9521912350597654E-2</v>
      </c>
      <c r="Q30">
        <v>28</v>
      </c>
      <c r="R30">
        <v>26.962</v>
      </c>
      <c r="S30">
        <v>12.657999999999999</v>
      </c>
      <c r="T30">
        <v>0.33718999999999999</v>
      </c>
      <c r="U30">
        <v>31.11</v>
      </c>
      <c r="V30" s="1">
        <f t="shared" si="7"/>
        <v>6.009999999999998</v>
      </c>
      <c r="W30" s="1">
        <f t="shared" si="8"/>
        <v>36.120099999999979</v>
      </c>
      <c r="X30" s="1">
        <f t="shared" si="9"/>
        <v>0.23944223107569718</v>
      </c>
      <c r="Z30">
        <v>28</v>
      </c>
      <c r="AA30">
        <v>26.92</v>
      </c>
      <c r="AB30">
        <v>12.452999999999999</v>
      </c>
      <c r="AC30">
        <v>0.31109999999999999</v>
      </c>
      <c r="AD30">
        <v>33.719000000000001</v>
      </c>
      <c r="AE30" s="1">
        <f t="shared" si="10"/>
        <v>8.6189999999999998</v>
      </c>
      <c r="AF30" s="1">
        <f t="shared" si="11"/>
        <v>74.287160999999998</v>
      </c>
      <c r="AG30" s="1">
        <f t="shared" si="12"/>
        <v>0.34338645418326696</v>
      </c>
      <c r="AI30">
        <v>28</v>
      </c>
      <c r="AJ30">
        <v>26.882000000000001</v>
      </c>
      <c r="AK30">
        <v>12.537000000000001</v>
      </c>
      <c r="AL30">
        <v>0.22162000000000001</v>
      </c>
      <c r="AM30">
        <v>22.161999999999999</v>
      </c>
      <c r="AN30" s="1">
        <f t="shared" si="13"/>
        <v>-2.9380000000000024</v>
      </c>
      <c r="AO30" s="1">
        <f t="shared" si="14"/>
        <v>8.6318440000000134</v>
      </c>
      <c r="AP30" s="1">
        <f t="shared" si="15"/>
        <v>-0.11705179282868539</v>
      </c>
      <c r="AR30">
        <v>28</v>
      </c>
      <c r="AS30">
        <v>26.754999999999999</v>
      </c>
      <c r="AT30">
        <v>12.532999999999999</v>
      </c>
      <c r="AU30">
        <v>0.14108000000000001</v>
      </c>
      <c r="AV30">
        <v>33.719000000000001</v>
      </c>
      <c r="AW30" s="1">
        <f t="shared" si="16"/>
        <v>8.6189999999999998</v>
      </c>
      <c r="AX30" s="1">
        <f t="shared" si="17"/>
        <v>74.287160999999998</v>
      </c>
      <c r="AY30" s="1">
        <f t="shared" si="18"/>
        <v>0.34338645418326696</v>
      </c>
      <c r="BA30">
        <v>28</v>
      </c>
      <c r="BB30">
        <v>26.734000000000002</v>
      </c>
      <c r="BC30">
        <v>12.382999999999999</v>
      </c>
      <c r="BD30">
        <v>0.32364999999999999</v>
      </c>
      <c r="BE30">
        <v>32.365000000000002</v>
      </c>
      <c r="BF30" s="1">
        <f t="shared" si="19"/>
        <v>7.2650000000000006</v>
      </c>
      <c r="BG30" s="1">
        <f t="shared" si="20"/>
        <v>52.780225000000009</v>
      </c>
      <c r="BH30" s="1">
        <f t="shared" si="21"/>
        <v>0.28944223107569722</v>
      </c>
      <c r="BJ30">
        <v>28</v>
      </c>
      <c r="BK30">
        <v>26.783999999999999</v>
      </c>
      <c r="BL30">
        <v>12.419</v>
      </c>
      <c r="BM30">
        <v>0.28617999999999999</v>
      </c>
      <c r="BN30">
        <v>28.617999999999999</v>
      </c>
      <c r="BO30" s="1">
        <f t="shared" si="22"/>
        <v>3.5179999999999971</v>
      </c>
      <c r="BP30" s="1">
        <f t="shared" si="23"/>
        <v>12.376323999999979</v>
      </c>
      <c r="BQ30" s="1">
        <f t="shared" si="24"/>
        <v>0.14015936254980077</v>
      </c>
      <c r="BS30">
        <v>28</v>
      </c>
      <c r="BT30">
        <v>26.805</v>
      </c>
      <c r="BU30">
        <v>12.608000000000001</v>
      </c>
      <c r="BV30">
        <v>0.29081000000000001</v>
      </c>
      <c r="BW30">
        <f t="shared" si="0"/>
        <v>29.081000000000003</v>
      </c>
      <c r="BX30" s="1">
        <f t="shared" si="25"/>
        <v>3.9810000000000016</v>
      </c>
      <c r="BY30" s="1">
        <f t="shared" si="26"/>
        <v>15.848361000000013</v>
      </c>
      <c r="BZ30" s="1">
        <f t="shared" si="27"/>
        <v>0.15860557768924299</v>
      </c>
      <c r="CB30">
        <v>28</v>
      </c>
      <c r="CC30">
        <v>0</v>
      </c>
      <c r="CD30">
        <v>0</v>
      </c>
      <c r="CE30">
        <v>0</v>
      </c>
      <c r="CF30">
        <f t="shared" si="1"/>
        <v>0</v>
      </c>
      <c r="CG30" s="1">
        <f t="shared" si="28"/>
        <v>-25.1</v>
      </c>
      <c r="CH30" s="1">
        <f t="shared" si="29"/>
        <v>630.0100000000001</v>
      </c>
      <c r="CI30" s="1">
        <f t="shared" si="30"/>
        <v>-1</v>
      </c>
      <c r="CK30">
        <v>28</v>
      </c>
      <c r="CL30">
        <v>0</v>
      </c>
      <c r="CM30">
        <v>0</v>
      </c>
      <c r="CN30">
        <v>0</v>
      </c>
      <c r="CO30">
        <f t="shared" si="2"/>
        <v>0</v>
      </c>
      <c r="CP30" s="1">
        <f t="shared" si="31"/>
        <v>-25.1</v>
      </c>
      <c r="CQ30" s="1">
        <f t="shared" si="32"/>
        <v>630.0100000000001</v>
      </c>
      <c r="CR30" s="1">
        <f t="shared" si="33"/>
        <v>-1</v>
      </c>
    </row>
    <row r="31" spans="1:96" x14ac:dyDescent="0.3">
      <c r="A31">
        <v>29.945</v>
      </c>
      <c r="B31">
        <v>-18.684999999999999</v>
      </c>
      <c r="C31">
        <v>29</v>
      </c>
      <c r="D31">
        <v>0.251</v>
      </c>
      <c r="E31">
        <f t="shared" si="3"/>
        <v>25.1</v>
      </c>
      <c r="G31">
        <v>29</v>
      </c>
      <c r="H31">
        <v>29.61449</v>
      </c>
      <c r="I31">
        <v>-18.932600000000001</v>
      </c>
      <c r="J31">
        <v>0.27439000000000002</v>
      </c>
      <c r="K31">
        <v>18</v>
      </c>
      <c r="L31" s="1">
        <f t="shared" si="4"/>
        <v>-7.1000000000000014</v>
      </c>
      <c r="M31" s="1">
        <f t="shared" si="5"/>
        <v>50.410000000000018</v>
      </c>
      <c r="N31" s="1">
        <f t="shared" si="6"/>
        <v>-0.28286852589641442</v>
      </c>
      <c r="Q31">
        <v>29</v>
      </c>
      <c r="R31">
        <v>30.119</v>
      </c>
      <c r="S31">
        <v>-18.431000000000001</v>
      </c>
      <c r="T31">
        <v>0.24199999999999999</v>
      </c>
      <c r="U31">
        <v>22.9</v>
      </c>
      <c r="V31" s="1">
        <f t="shared" si="7"/>
        <v>-2.2000000000000028</v>
      </c>
      <c r="W31" s="1">
        <f t="shared" si="8"/>
        <v>4.8400000000000123</v>
      </c>
      <c r="X31" s="1">
        <f t="shared" si="9"/>
        <v>-8.7649402390438391E-2</v>
      </c>
      <c r="Z31">
        <v>29</v>
      </c>
      <c r="AA31">
        <v>30.042000000000002</v>
      </c>
      <c r="AB31">
        <v>-18.5</v>
      </c>
      <c r="AC31">
        <v>0.17899999999999999</v>
      </c>
      <c r="AD31">
        <v>24.2</v>
      </c>
      <c r="AE31" s="1">
        <f t="shared" si="10"/>
        <v>-0.90000000000000213</v>
      </c>
      <c r="AF31" s="1">
        <f>AE31*AE31</f>
        <v>0.81000000000000383</v>
      </c>
      <c r="AG31" s="1">
        <f t="shared" si="12"/>
        <v>-3.5856573705179362E-2</v>
      </c>
      <c r="AI31">
        <v>29</v>
      </c>
      <c r="AJ31">
        <v>29.864999999999998</v>
      </c>
      <c r="AK31">
        <v>-18.82</v>
      </c>
      <c r="AL31">
        <v>0.19400000000000001</v>
      </c>
      <c r="AM31">
        <v>19.399999999999999</v>
      </c>
      <c r="AN31" s="1">
        <f t="shared" si="13"/>
        <v>-5.7000000000000028</v>
      </c>
      <c r="AO31" s="1">
        <f t="shared" si="14"/>
        <v>32.49000000000003</v>
      </c>
      <c r="AP31" s="1">
        <f t="shared" si="15"/>
        <v>-0.22709163346613559</v>
      </c>
      <c r="AR31">
        <v>29</v>
      </c>
      <c r="AS31">
        <v>30.131</v>
      </c>
      <c r="AT31">
        <v>-18.416</v>
      </c>
      <c r="AU31">
        <v>0.21</v>
      </c>
      <c r="AV31">
        <v>27.439</v>
      </c>
      <c r="AW31" s="1">
        <f t="shared" si="16"/>
        <v>2.3389999999999986</v>
      </c>
      <c r="AX31" s="1">
        <f t="shared" si="17"/>
        <v>5.4709209999999935</v>
      </c>
      <c r="AY31" s="1">
        <f t="shared" si="18"/>
        <v>9.318725099601588E-2</v>
      </c>
      <c r="BA31">
        <v>29</v>
      </c>
      <c r="BB31">
        <v>30.076000000000001</v>
      </c>
      <c r="BC31">
        <v>-18.228999999999999</v>
      </c>
      <c r="BD31">
        <v>0.21</v>
      </c>
      <c r="BE31">
        <v>21</v>
      </c>
      <c r="BF31" s="1">
        <f t="shared" si="19"/>
        <v>-4.1000000000000014</v>
      </c>
      <c r="BG31" s="1">
        <f t="shared" si="20"/>
        <v>16.810000000000013</v>
      </c>
      <c r="BH31" s="1">
        <f t="shared" si="21"/>
        <v>-0.16334661354581681</v>
      </c>
      <c r="BJ31">
        <v>29</v>
      </c>
      <c r="BK31">
        <v>29.864999999999998</v>
      </c>
      <c r="BL31">
        <v>-18.745999999999999</v>
      </c>
      <c r="BM31">
        <v>0.17299999999999999</v>
      </c>
      <c r="BN31">
        <v>17.3</v>
      </c>
      <c r="BO31" s="1">
        <f t="shared" si="22"/>
        <v>-7.8000000000000007</v>
      </c>
      <c r="BP31" s="1">
        <f t="shared" si="23"/>
        <v>60.840000000000011</v>
      </c>
      <c r="BQ31" s="1">
        <f t="shared" si="24"/>
        <v>-0.31075697211155384</v>
      </c>
      <c r="BS31">
        <v>29</v>
      </c>
      <c r="BT31">
        <v>29.864000000000001</v>
      </c>
      <c r="BU31">
        <v>-18.766999999999999</v>
      </c>
      <c r="BV31">
        <v>0.19700000000000001</v>
      </c>
      <c r="BW31">
        <f t="shared" si="0"/>
        <v>19.7</v>
      </c>
      <c r="BX31" s="1">
        <f t="shared" si="25"/>
        <v>-5.4000000000000021</v>
      </c>
      <c r="BY31" s="1">
        <f t="shared" si="26"/>
        <v>29.160000000000021</v>
      </c>
      <c r="BZ31" s="1">
        <f t="shared" si="27"/>
        <v>-0.21513944223107573</v>
      </c>
      <c r="CB31">
        <v>29</v>
      </c>
      <c r="CC31">
        <v>29.989000000000001</v>
      </c>
      <c r="CD31">
        <v>-18.599</v>
      </c>
      <c r="CE31">
        <v>0.193</v>
      </c>
      <c r="CF31">
        <f t="shared" si="1"/>
        <v>19.3</v>
      </c>
      <c r="CG31" s="1">
        <f t="shared" si="28"/>
        <v>-5.8000000000000007</v>
      </c>
      <c r="CH31" s="1">
        <f t="shared" si="29"/>
        <v>33.640000000000008</v>
      </c>
      <c r="CI31" s="1">
        <f t="shared" si="30"/>
        <v>-0.2310756972111554</v>
      </c>
      <c r="CK31">
        <v>29</v>
      </c>
      <c r="CL31">
        <v>30.161000000000001</v>
      </c>
      <c r="CM31">
        <v>-18.314</v>
      </c>
      <c r="CN31">
        <v>0.189</v>
      </c>
      <c r="CO31">
        <f t="shared" si="2"/>
        <v>18.899999999999999</v>
      </c>
      <c r="CP31" s="1">
        <f t="shared" si="31"/>
        <v>-6.2000000000000028</v>
      </c>
      <c r="CQ31" s="1">
        <f t="shared" si="32"/>
        <v>38.440000000000033</v>
      </c>
      <c r="CR31" s="1">
        <f t="shared" si="33"/>
        <v>-0.24701195219123517</v>
      </c>
    </row>
    <row r="32" spans="1:96" x14ac:dyDescent="0.3">
      <c r="L32" s="1" cm="1">
        <f t="array" ref="L32">AVERAGE(ABS(L3:L31))</f>
        <v>2.2156551724137938</v>
      </c>
      <c r="M32" s="1">
        <f>SQRT(AVERAGE(M3:M31))</f>
        <v>3.2372727346673602</v>
      </c>
      <c r="N32" s="1" cm="1">
        <f t="array" ref="N32">AVERAGE(ABS(N3:N31))</f>
        <v>7.8048470607493953E-2</v>
      </c>
      <c r="V32" s="1" cm="1">
        <f t="array" ref="V32">AVERAGE(ABS(V3:V31))</f>
        <v>2.789103448275863</v>
      </c>
      <c r="W32" s="1">
        <f>SQRT(AVERAGE(W3:W31))</f>
        <v>3.4335126780521481</v>
      </c>
      <c r="X32" s="1" cm="1">
        <f t="array" ref="X32">AVERAGE(ABS(X3:X31))</f>
        <v>9.2238879585989891E-2</v>
      </c>
      <c r="AE32" s="1" cm="1">
        <f t="array" ref="AE32">AVERAGE(ABS(AE3:AE31))</f>
        <v>2.9831724137931031</v>
      </c>
      <c r="AF32" s="1">
        <f>SQRT(AVERAGE(AF3:AF31))</f>
        <v>4.5106256389964798</v>
      </c>
      <c r="AG32" s="1" cm="1">
        <f t="array" ref="AG32">AVERAGE(ABS(AG3:AG31))</f>
        <v>0.10970477025514158</v>
      </c>
      <c r="AN32" s="1" cm="1">
        <f t="array" ref="AN32">AVERAGE(ABS((AN3:AN31)))</f>
        <v>3.5750344827586202</v>
      </c>
      <c r="AO32" s="1">
        <f>SQRT(AVERAGE(AO3:AO31))</f>
        <v>4.8288821937772832</v>
      </c>
      <c r="AP32" s="1" cm="1">
        <f t="array" ref="AP32">AVERAGE(ABS(AP3:AP31))</f>
        <v>0.13171497232147514</v>
      </c>
      <c r="AW32" s="1" cm="1">
        <f t="array" ref="AW32">AVERAGE(ABS(AW3:AW31))</f>
        <v>3.678689655172414</v>
      </c>
      <c r="AX32" s="1">
        <f>SQRT(AVERAGE(AX3:AX31))</f>
        <v>5.2911563692767514</v>
      </c>
      <c r="AY32" s="1" cm="1">
        <f t="array" ref="AY32">AVERAGE(ABS(AY3:AY31))</f>
        <v>0.12305317561508902</v>
      </c>
      <c r="BF32" s="1" cm="1">
        <f t="array" ref="BF32">AVERAGE(ABS(BF3:BF31))</f>
        <v>4.5791034482758617</v>
      </c>
      <c r="BG32" s="1">
        <f>SQRT(AVERAGE(BG3:BG31))</f>
        <v>6.740957248098348</v>
      </c>
      <c r="BH32" s="1" cm="1">
        <f t="array" ref="BH32">AVERAGE(ABS(BH3:BH31))</f>
        <v>0.1675639979950497</v>
      </c>
      <c r="BO32" s="1" cm="1">
        <f t="array" ref="BO32">AVERAGE(ABS(BO3:BO31))</f>
        <v>5.4636206896551744</v>
      </c>
      <c r="BP32" s="1">
        <f>SQRT(AVERAGE(BP3:BP31))</f>
        <v>8.0916103188255519</v>
      </c>
      <c r="BQ32" s="1" cm="1">
        <f t="array" ref="BQ32">AVERAGE(ABS(BQ3:BQ31))</f>
        <v>0.18576521840737589</v>
      </c>
      <c r="BX32" s="1" cm="1">
        <f t="array" ref="BX32">AVERAGE(ABS(BX3:BX31))</f>
        <v>6.2414482758620693</v>
      </c>
      <c r="BY32" s="1">
        <f>SQRT(AVERAGE(BY3:BY31))</f>
        <v>11.642141534839773</v>
      </c>
      <c r="BZ32" s="1" cm="1">
        <f t="array" ref="BZ32">AVERAGE(ABS(BZ3:BZ31))</f>
        <v>0.20060079535158029</v>
      </c>
      <c r="CG32" s="1" cm="1">
        <f t="array" ref="CG32">AVERAGE(ABS(CG3:CG31))</f>
        <v>6.4934482758620682</v>
      </c>
      <c r="CH32" s="1">
        <f>SQRT(AVERAGE(CH3:CH31))</f>
        <v>11.773162259401971</v>
      </c>
      <c r="CI32" s="1" cm="1">
        <f t="array" ref="CI32">AVERAGE(ABS(CI3:CI31))</f>
        <v>0.20484478940192272</v>
      </c>
      <c r="CP32" s="1" cm="1">
        <f t="array" ref="CP32">AVERAGE(ABS(CP3:CP31))</f>
        <v>7.1725862068965514</v>
      </c>
      <c r="CQ32" s="1">
        <f>SQRT(AVERAGE(CQ3:CQ31))</f>
        <v>10.718133414757988</v>
      </c>
      <c r="CR32" s="1" cm="1">
        <f t="array" ref="CR32">AVERAGE(ABS(CR3:CR31))</f>
        <v>0.25491960150444487</v>
      </c>
    </row>
    <row r="33" spans="12:96" x14ac:dyDescent="0.3">
      <c r="L33" s="1"/>
      <c r="M33" s="1"/>
      <c r="N33" s="1"/>
      <c r="V33" s="1"/>
      <c r="W33" s="1"/>
      <c r="X33" s="1"/>
      <c r="AE33" s="1"/>
      <c r="AF33" s="1"/>
      <c r="AG33" s="1"/>
      <c r="AN33" s="1"/>
      <c r="AO33" s="1"/>
      <c r="AP33" s="1"/>
      <c r="AW33" s="1"/>
      <c r="AX33" s="1"/>
      <c r="AY33" s="1"/>
      <c r="BF33" s="1"/>
      <c r="BG33" s="1"/>
      <c r="BH33" s="1"/>
      <c r="BO33" s="1"/>
      <c r="BP33" s="1"/>
      <c r="BQ33" s="1"/>
      <c r="BX33" s="1"/>
      <c r="BY33" s="1"/>
      <c r="BZ33" s="1"/>
      <c r="CG33" s="1"/>
      <c r="CH33" s="1"/>
      <c r="CI33" s="1"/>
      <c r="CP33" s="1"/>
      <c r="CQ33" s="1"/>
      <c r="CR33" s="1"/>
    </row>
    <row r="34" spans="12:96" x14ac:dyDescent="0.3">
      <c r="L34" s="1"/>
      <c r="M34" s="1"/>
      <c r="N34" s="1"/>
      <c r="V34" s="1"/>
      <c r="W34" s="1"/>
      <c r="X34" s="1"/>
      <c r="AE34" s="1"/>
      <c r="AF34" s="1"/>
      <c r="AG34" s="1"/>
      <c r="AN34" s="1"/>
      <c r="AO34" s="1"/>
      <c r="AP34" s="1"/>
      <c r="AW34" s="1"/>
      <c r="AX34" s="1"/>
      <c r="AY34" s="1"/>
      <c r="BF34" s="1"/>
      <c r="BG34" s="1"/>
      <c r="BH34" s="1"/>
      <c r="BO34" s="1"/>
      <c r="BP34" s="1"/>
      <c r="BQ34" s="1"/>
      <c r="BX34" s="1"/>
      <c r="BY34" s="1"/>
      <c r="BZ34" s="1"/>
      <c r="CG34" s="1"/>
      <c r="CH34" s="1"/>
      <c r="CI34" s="1"/>
      <c r="CP34" s="1"/>
      <c r="CQ34" s="1"/>
      <c r="CR34" s="1"/>
    </row>
    <row r="35" spans="12:96" x14ac:dyDescent="0.3">
      <c r="L35" s="1"/>
      <c r="M35" s="1"/>
      <c r="N35" s="1"/>
      <c r="V35" s="1"/>
      <c r="W35" s="1"/>
      <c r="X35" s="1"/>
      <c r="AE35" s="1"/>
      <c r="AF35" s="1"/>
      <c r="AG35" s="1"/>
      <c r="AN35" s="1"/>
      <c r="AO35" s="1"/>
      <c r="AP35" s="1"/>
      <c r="AW35" s="1"/>
      <c r="AX35" s="1"/>
      <c r="AY35" s="1"/>
      <c r="BF35" s="1"/>
      <c r="BG35" s="1"/>
      <c r="BH35" s="1"/>
      <c r="BO35" s="1"/>
      <c r="BP35" s="1"/>
      <c r="BQ35" s="1"/>
      <c r="BX35" s="1"/>
      <c r="BY35" s="1"/>
      <c r="BZ35" s="1"/>
      <c r="CG35" s="1"/>
      <c r="CH35" s="1"/>
      <c r="CI35" s="1"/>
      <c r="CP35" s="1"/>
      <c r="CQ35" s="1"/>
      <c r="CR35" s="1"/>
    </row>
    <row r="36" spans="12:96" x14ac:dyDescent="0.3">
      <c r="L36" s="1"/>
      <c r="M36" s="1"/>
      <c r="N36" s="1"/>
      <c r="V36" s="1"/>
      <c r="W36" s="1"/>
      <c r="X36" s="1"/>
      <c r="AE36" s="1"/>
      <c r="AF36" s="1"/>
      <c r="AG36" s="1"/>
      <c r="AN36" s="1"/>
      <c r="AO36" s="1"/>
      <c r="AP36" s="1"/>
      <c r="AW36" s="1"/>
      <c r="AX36" s="1"/>
      <c r="AY36" s="1"/>
      <c r="BF36" s="1"/>
      <c r="BG36" s="1"/>
      <c r="BH36" s="1"/>
      <c r="BO36" s="1"/>
      <c r="BP36" s="1"/>
      <c r="BQ36" s="1"/>
      <c r="BX36" s="1"/>
      <c r="BY36" s="1"/>
      <c r="BZ36" s="1"/>
      <c r="CG36" s="1"/>
      <c r="CH36" s="1"/>
      <c r="CI36" s="1"/>
      <c r="CP36" s="1"/>
      <c r="CQ36" s="1"/>
      <c r="CR36" s="1"/>
    </row>
    <row r="37" spans="12:96" x14ac:dyDescent="0.3">
      <c r="L37" s="1">
        <v>2.2156551724137938</v>
      </c>
      <c r="M37" s="1">
        <v>3.2372727346673602</v>
      </c>
      <c r="N37" s="1">
        <v>7.8048470607493953E-2</v>
      </c>
      <c r="Q37">
        <v>2.2156551724137938</v>
      </c>
      <c r="R37">
        <v>3.2372727346673602</v>
      </c>
      <c r="S37">
        <v>7.8048470607493953E-2</v>
      </c>
      <c r="T37" s="4">
        <f>100*S37</f>
        <v>7.8048470607493954</v>
      </c>
      <c r="V37" s="1"/>
      <c r="W37" s="1"/>
      <c r="X37" s="1"/>
    </row>
    <row r="38" spans="12:96" x14ac:dyDescent="0.3">
      <c r="L38" s="1">
        <v>2.789103448275863</v>
      </c>
      <c r="M38" s="1">
        <v>3.4335126780521481</v>
      </c>
      <c r="N38" s="1">
        <v>9.2238879585989891E-2</v>
      </c>
      <c r="Q38">
        <v>2.789103448275863</v>
      </c>
      <c r="R38">
        <v>3.4335126780521481</v>
      </c>
      <c r="S38">
        <v>9.2238879585989891E-2</v>
      </c>
      <c r="T38" s="4">
        <f t="shared" ref="T38:T46" si="35">100*S38</f>
        <v>9.2238879585989899</v>
      </c>
      <c r="V38" s="1"/>
      <c r="W38" s="1"/>
      <c r="X38" s="1"/>
      <c r="AE38" s="1"/>
      <c r="AF38" s="1"/>
      <c r="AG38" s="1"/>
      <c r="AN38" s="1"/>
      <c r="AO38" s="1"/>
      <c r="AP38" s="1"/>
      <c r="AW38" s="1"/>
      <c r="AX38" s="1"/>
      <c r="AY38" s="1"/>
      <c r="BF38" s="1"/>
      <c r="BG38" s="1"/>
      <c r="BH38" s="1"/>
      <c r="BO38" s="1"/>
      <c r="BP38" s="1"/>
      <c r="BQ38" s="1"/>
      <c r="BX38" s="1"/>
      <c r="BY38" s="1"/>
      <c r="BZ38" s="1"/>
      <c r="CG38" s="1"/>
      <c r="CH38" s="1"/>
      <c r="CI38" s="1"/>
      <c r="CP38" s="1"/>
      <c r="CQ38" s="1"/>
      <c r="CR38" s="1"/>
    </row>
    <row r="39" spans="12:96" x14ac:dyDescent="0.3">
      <c r="L39" s="1">
        <v>2.9831724137931031</v>
      </c>
      <c r="M39" s="1">
        <v>4.5106256389964798</v>
      </c>
      <c r="N39" s="1">
        <v>0.10970477025514158</v>
      </c>
      <c r="Q39">
        <v>2.9831724137931031</v>
      </c>
      <c r="R39">
        <v>4.5106256389964798</v>
      </c>
      <c r="S39">
        <v>0.10970477025514158</v>
      </c>
      <c r="T39" s="4">
        <f t="shared" si="35"/>
        <v>10.970477025514159</v>
      </c>
      <c r="X39" s="1"/>
      <c r="AE39" s="1"/>
      <c r="AF39" s="1"/>
      <c r="AG39" s="1"/>
      <c r="AN39" s="1"/>
      <c r="AO39" s="1"/>
      <c r="AP39" s="1"/>
      <c r="AW39" s="1"/>
      <c r="AX39" s="1"/>
      <c r="AY39" s="1"/>
      <c r="BF39" s="1"/>
      <c r="BG39" s="1"/>
      <c r="BH39" s="1"/>
      <c r="BO39" s="1"/>
      <c r="BP39" s="1"/>
      <c r="BQ39" s="1"/>
      <c r="BX39" s="1"/>
      <c r="BY39" s="1"/>
      <c r="BZ39" s="1"/>
      <c r="CG39" s="1"/>
      <c r="CH39" s="1"/>
      <c r="CI39" s="1"/>
      <c r="CP39" s="1"/>
      <c r="CQ39" s="1"/>
      <c r="CR39" s="1"/>
    </row>
    <row r="40" spans="12:96" x14ac:dyDescent="0.3">
      <c r="L40" s="1">
        <v>3.5750344827586202</v>
      </c>
      <c r="M40" s="1">
        <v>4.8288821937772832</v>
      </c>
      <c r="N40" s="1">
        <v>0.13171497232147514</v>
      </c>
      <c r="Q40">
        <v>3.5750344827586202</v>
      </c>
      <c r="R40">
        <v>4.8288821937772832</v>
      </c>
      <c r="S40">
        <v>0.13171497232147514</v>
      </c>
      <c r="T40" s="4">
        <f t="shared" si="35"/>
        <v>13.171497232147514</v>
      </c>
      <c r="V40" s="1"/>
      <c r="W40" s="1"/>
      <c r="X40" s="1"/>
      <c r="AE40" s="1"/>
      <c r="AF40" s="1"/>
      <c r="AG40" s="1"/>
      <c r="AN40" s="1"/>
      <c r="AO40" s="1"/>
      <c r="AP40" s="1"/>
      <c r="AW40" s="1"/>
      <c r="AX40" s="1"/>
      <c r="AY40" s="1"/>
      <c r="BF40" s="1"/>
      <c r="BG40" s="1"/>
      <c r="BH40" s="1"/>
      <c r="BO40" s="1"/>
      <c r="BP40" s="1"/>
      <c r="BQ40" s="1"/>
      <c r="BX40" s="1"/>
      <c r="BY40" s="1"/>
      <c r="BZ40" s="1"/>
      <c r="CG40" s="1"/>
      <c r="CH40" s="1"/>
      <c r="CI40" s="1"/>
      <c r="CP40" s="1"/>
      <c r="CQ40" s="1"/>
      <c r="CR40" s="1"/>
    </row>
    <row r="41" spans="12:96" x14ac:dyDescent="0.3">
      <c r="L41" s="1">
        <v>3.678689655172414</v>
      </c>
      <c r="M41" s="1">
        <v>5.2911563692767514</v>
      </c>
      <c r="N41" s="1">
        <v>0.12305317561508902</v>
      </c>
      <c r="Q41">
        <v>3.678689655172414</v>
      </c>
      <c r="R41">
        <v>5.2911563692767514</v>
      </c>
      <c r="S41">
        <v>0.12305317561508902</v>
      </c>
      <c r="T41" s="4">
        <f t="shared" si="35"/>
        <v>12.305317561508902</v>
      </c>
      <c r="BH41" s="1"/>
      <c r="BO41" s="1"/>
      <c r="BP41" s="1"/>
      <c r="BQ41" s="1"/>
      <c r="BX41" s="1"/>
      <c r="BY41" s="1"/>
      <c r="BZ41" s="1"/>
      <c r="CG41" s="1"/>
      <c r="CH41" s="1"/>
      <c r="CI41" s="1"/>
      <c r="CP41" s="1"/>
      <c r="CQ41" s="1"/>
      <c r="CR41" s="1"/>
    </row>
    <row r="42" spans="12:96" x14ac:dyDescent="0.3">
      <c r="L42" s="1">
        <v>4.5791034482758617</v>
      </c>
      <c r="M42" s="1">
        <v>6.740957248098348</v>
      </c>
      <c r="N42" s="1">
        <v>0.1675639979950497</v>
      </c>
      <c r="Q42">
        <v>4.5791034482758617</v>
      </c>
      <c r="R42">
        <v>6.740957248098348</v>
      </c>
      <c r="S42">
        <v>0.1675639979950497</v>
      </c>
      <c r="T42" s="4">
        <f t="shared" si="35"/>
        <v>16.756399799504969</v>
      </c>
      <c r="V42" s="1"/>
      <c r="W42" s="1"/>
      <c r="X42" s="1"/>
      <c r="AE42" s="1"/>
      <c r="AF42" s="1"/>
      <c r="AG42" s="1"/>
      <c r="AN42" s="1"/>
      <c r="AO42" s="1"/>
      <c r="AP42" s="1"/>
      <c r="AW42" s="1"/>
      <c r="AX42" s="1"/>
      <c r="AY42" s="1"/>
      <c r="BF42" s="1"/>
      <c r="BG42" s="1"/>
      <c r="BH42" s="1"/>
      <c r="BO42" s="1"/>
      <c r="BP42" s="1"/>
      <c r="BQ42" s="1"/>
      <c r="BX42" s="1"/>
      <c r="BY42" s="1"/>
      <c r="BZ42" s="1"/>
      <c r="CG42" s="1"/>
      <c r="CH42" s="1"/>
      <c r="CI42" s="1"/>
      <c r="CP42" s="1"/>
      <c r="CQ42" s="1"/>
      <c r="CR42" s="1"/>
    </row>
    <row r="43" spans="12:96" x14ac:dyDescent="0.3">
      <c r="L43" s="1">
        <v>5.4636206896551744</v>
      </c>
      <c r="M43" s="1">
        <v>8.0916103188255519</v>
      </c>
      <c r="N43" s="1">
        <v>0.18576521840737589</v>
      </c>
      <c r="Q43">
        <v>5.4636206896551744</v>
      </c>
      <c r="R43">
        <v>8.0916103188255519</v>
      </c>
      <c r="S43">
        <v>0.18576521840737589</v>
      </c>
      <c r="T43" s="4">
        <f t="shared" si="35"/>
        <v>18.576521840737588</v>
      </c>
      <c r="X43" s="1"/>
      <c r="AE43" s="1"/>
      <c r="AF43" s="1"/>
      <c r="AG43" s="1"/>
      <c r="AN43" s="1"/>
      <c r="AO43" s="1"/>
      <c r="AP43" s="1"/>
      <c r="AW43" s="1"/>
      <c r="AX43" s="1"/>
      <c r="AY43" s="1"/>
      <c r="BF43" s="1"/>
      <c r="BG43" s="1"/>
      <c r="BH43" s="1"/>
      <c r="BO43" s="1"/>
      <c r="BP43" s="1"/>
      <c r="BQ43" s="1"/>
      <c r="BX43" s="1"/>
      <c r="BY43" s="1"/>
      <c r="BZ43" s="1"/>
      <c r="CG43" s="1"/>
      <c r="CH43" s="1"/>
      <c r="CI43" s="1"/>
      <c r="CP43" s="1"/>
      <c r="CQ43" s="1"/>
      <c r="CR43" s="1"/>
    </row>
    <row r="44" spans="12:96" x14ac:dyDescent="0.3">
      <c r="L44" s="1">
        <v>6.2414482758620693</v>
      </c>
      <c r="M44" s="1">
        <v>11.642141534839773</v>
      </c>
      <c r="N44" s="1">
        <v>0.20060079535158029</v>
      </c>
      <c r="Q44">
        <v>6.2414482758620693</v>
      </c>
      <c r="R44">
        <v>11.642141534839773</v>
      </c>
      <c r="S44">
        <v>0.20060079535158029</v>
      </c>
      <c r="T44" s="4">
        <f t="shared" si="35"/>
        <v>20.060079535158028</v>
      </c>
    </row>
    <row r="45" spans="12:96" x14ac:dyDescent="0.3">
      <c r="L45" s="1">
        <v>6.4934482758620682</v>
      </c>
      <c r="M45" s="1">
        <v>11.773162259401971</v>
      </c>
      <c r="N45" s="1">
        <v>0.20484478940192272</v>
      </c>
      <c r="Q45">
        <v>6.4934482758620682</v>
      </c>
      <c r="R45">
        <v>11.773162259401971</v>
      </c>
      <c r="S45">
        <v>0.20484478940192272</v>
      </c>
      <c r="T45" s="4">
        <f t="shared" si="35"/>
        <v>20.484478940192272</v>
      </c>
      <c r="X45" s="1"/>
      <c r="AF45" s="1"/>
      <c r="AG45" s="1"/>
    </row>
    <row r="46" spans="12:96" x14ac:dyDescent="0.3">
      <c r="L46" s="1">
        <v>7.1725862068965514</v>
      </c>
      <c r="M46" s="1">
        <v>10.718133414757988</v>
      </c>
      <c r="N46" s="1">
        <v>0.25491960150444487</v>
      </c>
      <c r="Q46">
        <v>7.1725862068965514</v>
      </c>
      <c r="R46">
        <v>10.718133414757988</v>
      </c>
      <c r="S46">
        <v>0.25491960150444487</v>
      </c>
      <c r="T46" s="4">
        <f t="shared" si="35"/>
        <v>25.491960150444488</v>
      </c>
    </row>
  </sheetData>
  <mergeCells count="11">
    <mergeCell ref="BA1:BD1"/>
    <mergeCell ref="BJ1:BM1"/>
    <mergeCell ref="BS1:BV1"/>
    <mergeCell ref="CB1:CE1"/>
    <mergeCell ref="CK1:CN1"/>
    <mergeCell ref="AR1:AU1"/>
    <mergeCell ref="A1:D1"/>
    <mergeCell ref="G1:J1"/>
    <mergeCell ref="Q1:T1"/>
    <mergeCell ref="Z1:AC1"/>
    <mergeCell ref="AI1:AL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Sunkin</dc:creator>
  <cp:lastModifiedBy>绍强 谢</cp:lastModifiedBy>
  <dcterms:created xsi:type="dcterms:W3CDTF">2015-06-05T18:19:34Z</dcterms:created>
  <dcterms:modified xsi:type="dcterms:W3CDTF">2025-03-25T08:34:51Z</dcterms:modified>
</cp:coreProperties>
</file>